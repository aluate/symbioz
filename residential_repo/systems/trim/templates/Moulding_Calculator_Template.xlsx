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lv\Desktop\Karl\"/>
    </mc:Choice>
  </mc:AlternateContent>
  <xr:revisionPtr revIDLastSave="0" documentId="13_ncr:1_{ED8C43AE-FCE3-499E-9CF9-BFE680DFC145}" xr6:coauthVersionLast="47" xr6:coauthVersionMax="47" xr10:uidLastSave="{00000000-0000-0000-0000-000000000000}"/>
  <bookViews>
    <workbookView xWindow="-120" yWindow="-120" windowWidth="29040" windowHeight="15720" tabRatio="850" activeTab="9" xr2:uid="{4CAAB1A2-1806-4A20-AAF9-D2EF2D248B26}"/>
  </bookViews>
  <sheets>
    <sheet name="Trim Take Off" sheetId="19" r:id="rId1"/>
    <sheet name="Door Schedule" sheetId="22" r:id="rId2"/>
    <sheet name="Door Price Data" sheetId="23" r:id="rId3"/>
    <sheet name="Door Take Off" sheetId="21" r:id="rId4"/>
    <sheet name="Trim Calc" sheetId="17" r:id="rId5"/>
    <sheet name="Vlookup" sheetId="16" state="hidden" r:id="rId6"/>
    <sheet name="Door Estimate" sheetId="24" r:id="rId7"/>
    <sheet name="Trim Estimate" sheetId="6" r:id="rId8"/>
    <sheet name="Hardwood Price Data" sheetId="20" r:id="rId9"/>
    <sheet name="LookUps" sheetId="18" r:id="rId10"/>
  </sheets>
  <definedNames>
    <definedName name="_xlnm.Print_Area" localSheetId="6">'Door Estimate'!$C$1:$H$35</definedName>
    <definedName name="_xlnm.Print_Area" localSheetId="7">'Trim Estimate'!$C$1:$H$35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9" l="1"/>
  <c r="C27" i="19"/>
  <c r="C31" i="19"/>
  <c r="C44" i="19"/>
  <c r="C30" i="19"/>
  <c r="C29" i="19"/>
  <c r="C43" i="19"/>
  <c r="C36" i="19"/>
  <c r="G34" i="24"/>
  <c r="G33" i="24"/>
  <c r="G32" i="24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C31" i="24"/>
  <c r="D12" i="24"/>
  <c r="D20" i="24"/>
  <c r="D21" i="24"/>
  <c r="D29" i="24"/>
  <c r="H29" i="24" s="1"/>
  <c r="D30" i="24"/>
  <c r="H30" i="24" s="1"/>
  <c r="D31" i="24"/>
  <c r="H31" i="24" s="1"/>
  <c r="H21" i="24"/>
  <c r="H5" i="24"/>
  <c r="H4" i="24"/>
  <c r="H3" i="24"/>
  <c r="U18" i="18"/>
  <c r="J25" i="22"/>
  <c r="J26" i="22"/>
  <c r="J27" i="22"/>
  <c r="I4" i="22"/>
  <c r="I5" i="22"/>
  <c r="I6" i="22"/>
  <c r="I14" i="22"/>
  <c r="I15" i="22"/>
  <c r="I32" i="22"/>
  <c r="I33" i="22"/>
  <c r="I34" i="22"/>
  <c r="I42" i="22"/>
  <c r="I43" i="22"/>
  <c r="H20" i="22"/>
  <c r="H21" i="22"/>
  <c r="H38" i="22"/>
  <c r="H39" i="22"/>
  <c r="H40" i="22"/>
  <c r="F3" i="22"/>
  <c r="F4" i="22"/>
  <c r="F5" i="22"/>
  <c r="F6" i="22"/>
  <c r="F7" i="22"/>
  <c r="F8" i="22"/>
  <c r="G8" i="22" s="1"/>
  <c r="C12" i="24" s="1"/>
  <c r="F9" i="22"/>
  <c r="F10" i="22"/>
  <c r="F11" i="22"/>
  <c r="F12" i="22"/>
  <c r="F13" i="22"/>
  <c r="F14" i="22"/>
  <c r="F15" i="22"/>
  <c r="G15" i="22" s="1"/>
  <c r="C19" i="24" s="1"/>
  <c r="F16" i="22"/>
  <c r="F17" i="22"/>
  <c r="F18" i="22"/>
  <c r="F19" i="22"/>
  <c r="F20" i="22"/>
  <c r="F21" i="22"/>
  <c r="F22" i="22"/>
  <c r="F23" i="22"/>
  <c r="F24" i="22"/>
  <c r="F25" i="22"/>
  <c r="F26" i="22"/>
  <c r="F27" i="22"/>
  <c r="G27" i="22" s="1"/>
  <c r="F28" i="22"/>
  <c r="F29" i="22"/>
  <c r="F30" i="22"/>
  <c r="F31" i="22"/>
  <c r="F32" i="22"/>
  <c r="F33" i="22"/>
  <c r="F34" i="22"/>
  <c r="F35" i="22"/>
  <c r="F36" i="22"/>
  <c r="G36" i="22" s="1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G21" i="22" s="1"/>
  <c r="C25" i="24" s="1"/>
  <c r="E22" i="22"/>
  <c r="G22" i="22" s="1"/>
  <c r="C26" i="24" s="1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G49" i="22" s="1"/>
  <c r="E50" i="22"/>
  <c r="G50" i="22" s="1"/>
  <c r="E51" i="22"/>
  <c r="G51" i="22" s="1"/>
  <c r="E52" i="22"/>
  <c r="G52" i="22" s="1"/>
  <c r="D3" i="22"/>
  <c r="I3" i="22" s="1"/>
  <c r="D4" i="22"/>
  <c r="D5" i="22"/>
  <c r="D6" i="22"/>
  <c r="D7" i="22"/>
  <c r="I7" i="22" s="1"/>
  <c r="D8" i="22"/>
  <c r="I8" i="22" s="1"/>
  <c r="D9" i="22"/>
  <c r="I9" i="22" s="1"/>
  <c r="D10" i="22"/>
  <c r="I10" i="22" s="1"/>
  <c r="D11" i="22"/>
  <c r="I11" i="22" s="1"/>
  <c r="D12" i="22"/>
  <c r="I12" i="22" s="1"/>
  <c r="D13" i="22"/>
  <c r="I13" i="22" s="1"/>
  <c r="D14" i="22"/>
  <c r="D15" i="22"/>
  <c r="D16" i="22"/>
  <c r="I16" i="22" s="1"/>
  <c r="D17" i="22"/>
  <c r="I17" i="22" s="1"/>
  <c r="D18" i="22"/>
  <c r="I18" i="22" s="1"/>
  <c r="D19" i="22"/>
  <c r="I19" i="22" s="1"/>
  <c r="D20" i="22"/>
  <c r="I20" i="22" s="1"/>
  <c r="D21" i="22"/>
  <c r="I21" i="22" s="1"/>
  <c r="D22" i="22"/>
  <c r="I22" i="22" s="1"/>
  <c r="D23" i="22"/>
  <c r="I23" i="22" s="1"/>
  <c r="D24" i="22"/>
  <c r="I24" i="22" s="1"/>
  <c r="D25" i="22"/>
  <c r="I25" i="22" s="1"/>
  <c r="D26" i="22"/>
  <c r="I26" i="22" s="1"/>
  <c r="D27" i="22"/>
  <c r="I27" i="22" s="1"/>
  <c r="D28" i="22"/>
  <c r="I28" i="22" s="1"/>
  <c r="D29" i="22"/>
  <c r="I29" i="22" s="1"/>
  <c r="D30" i="22"/>
  <c r="I30" i="22" s="1"/>
  <c r="D31" i="22"/>
  <c r="I31" i="22" s="1"/>
  <c r="D32" i="22"/>
  <c r="D33" i="22"/>
  <c r="D34" i="22"/>
  <c r="D35" i="22"/>
  <c r="I35" i="22" s="1"/>
  <c r="D36" i="22"/>
  <c r="I36" i="22" s="1"/>
  <c r="D37" i="22"/>
  <c r="I37" i="22" s="1"/>
  <c r="D38" i="22"/>
  <c r="I38" i="22" s="1"/>
  <c r="D39" i="22"/>
  <c r="I39" i="22" s="1"/>
  <c r="D40" i="22"/>
  <c r="I40" i="22" s="1"/>
  <c r="D41" i="22"/>
  <c r="I41" i="22" s="1"/>
  <c r="D42" i="22"/>
  <c r="D43" i="22"/>
  <c r="D44" i="22"/>
  <c r="I44" i="22" s="1"/>
  <c r="D45" i="22"/>
  <c r="I45" i="22" s="1"/>
  <c r="D46" i="22"/>
  <c r="I46" i="22" s="1"/>
  <c r="D47" i="22"/>
  <c r="I47" i="22" s="1"/>
  <c r="D48" i="22"/>
  <c r="I48" i="22" s="1"/>
  <c r="D49" i="22"/>
  <c r="I49" i="22" s="1"/>
  <c r="D50" i="22"/>
  <c r="I50" i="22" s="1"/>
  <c r="D51" i="22"/>
  <c r="I51" i="22" s="1"/>
  <c r="D52" i="22"/>
  <c r="I52" i="22" s="1"/>
  <c r="C3" i="22"/>
  <c r="H3" i="22" s="1"/>
  <c r="C4" i="22"/>
  <c r="H4" i="22" s="1"/>
  <c r="C5" i="22"/>
  <c r="H5" i="22" s="1"/>
  <c r="C6" i="22"/>
  <c r="H6" i="22" s="1"/>
  <c r="C7" i="22"/>
  <c r="H7" i="22" s="1"/>
  <c r="C8" i="22"/>
  <c r="H8" i="22" s="1"/>
  <c r="C9" i="22"/>
  <c r="H9" i="22" s="1"/>
  <c r="C10" i="22"/>
  <c r="H10" i="22" s="1"/>
  <c r="C11" i="22"/>
  <c r="H11" i="22" s="1"/>
  <c r="C12" i="22"/>
  <c r="H12" i="22" s="1"/>
  <c r="C13" i="22"/>
  <c r="H13" i="22" s="1"/>
  <c r="C14" i="22"/>
  <c r="H14" i="22" s="1"/>
  <c r="C15" i="22"/>
  <c r="H15" i="22" s="1"/>
  <c r="C16" i="22"/>
  <c r="H16" i="22" s="1"/>
  <c r="C17" i="22"/>
  <c r="H17" i="22" s="1"/>
  <c r="C18" i="22"/>
  <c r="H18" i="22" s="1"/>
  <c r="C19" i="22"/>
  <c r="H19" i="22" s="1"/>
  <c r="C20" i="22"/>
  <c r="C21" i="22"/>
  <c r="C22" i="22"/>
  <c r="H22" i="22" s="1"/>
  <c r="C23" i="22"/>
  <c r="H23" i="22" s="1"/>
  <c r="C24" i="22"/>
  <c r="H24" i="22" s="1"/>
  <c r="C25" i="22"/>
  <c r="H25" i="22" s="1"/>
  <c r="C26" i="22"/>
  <c r="H26" i="22" s="1"/>
  <c r="C27" i="22"/>
  <c r="H27" i="22" s="1"/>
  <c r="C28" i="22"/>
  <c r="H28" i="22" s="1"/>
  <c r="C29" i="22"/>
  <c r="H29" i="22" s="1"/>
  <c r="C30" i="22"/>
  <c r="H30" i="22" s="1"/>
  <c r="C31" i="22"/>
  <c r="H31" i="22" s="1"/>
  <c r="C32" i="22"/>
  <c r="H32" i="22" s="1"/>
  <c r="C33" i="22"/>
  <c r="H33" i="22" s="1"/>
  <c r="C34" i="22"/>
  <c r="H34" i="22" s="1"/>
  <c r="C35" i="22"/>
  <c r="H35" i="22" s="1"/>
  <c r="C36" i="22"/>
  <c r="H36" i="22" s="1"/>
  <c r="C37" i="22"/>
  <c r="H37" i="22" s="1"/>
  <c r="C38" i="22"/>
  <c r="C39" i="22"/>
  <c r="C40" i="22"/>
  <c r="C41" i="22"/>
  <c r="H41" i="22" s="1"/>
  <c r="C42" i="22"/>
  <c r="H42" i="22" s="1"/>
  <c r="C43" i="22"/>
  <c r="H43" i="22" s="1"/>
  <c r="C44" i="22"/>
  <c r="H44" i="22" s="1"/>
  <c r="C45" i="22"/>
  <c r="H45" i="22" s="1"/>
  <c r="C46" i="22"/>
  <c r="H46" i="22" s="1"/>
  <c r="C47" i="22"/>
  <c r="H47" i="22" s="1"/>
  <c r="C48" i="22"/>
  <c r="H48" i="22" s="1"/>
  <c r="C49" i="22"/>
  <c r="H49" i="22" s="1"/>
  <c r="C50" i="22"/>
  <c r="H50" i="22" s="1"/>
  <c r="C51" i="22"/>
  <c r="H51" i="22" s="1"/>
  <c r="C52" i="22"/>
  <c r="H52" i="22" s="1"/>
  <c r="B3" i="22"/>
  <c r="B4" i="22"/>
  <c r="B5" i="22"/>
  <c r="B6" i="22"/>
  <c r="B7" i="22"/>
  <c r="B8" i="22"/>
  <c r="J8" i="22" s="1"/>
  <c r="B9" i="22"/>
  <c r="J9" i="22" s="1"/>
  <c r="D13" i="24" s="1"/>
  <c r="B10" i="22"/>
  <c r="J10" i="22" s="1"/>
  <c r="D14" i="24" s="1"/>
  <c r="B11" i="22"/>
  <c r="J11" i="22" s="1"/>
  <c r="D15" i="24" s="1"/>
  <c r="B12" i="22"/>
  <c r="J12" i="22" s="1"/>
  <c r="D16" i="24" s="1"/>
  <c r="B13" i="22"/>
  <c r="J13" i="22" s="1"/>
  <c r="D17" i="24" s="1"/>
  <c r="B14" i="22"/>
  <c r="J14" i="22" s="1"/>
  <c r="D18" i="24" s="1"/>
  <c r="B15" i="22"/>
  <c r="J15" i="22" s="1"/>
  <c r="D19" i="24" s="1"/>
  <c r="B16" i="22"/>
  <c r="J16" i="22" s="1"/>
  <c r="B17" i="22"/>
  <c r="J17" i="22" s="1"/>
  <c r="B18" i="22"/>
  <c r="J18" i="22" s="1"/>
  <c r="D22" i="24" s="1"/>
  <c r="B19" i="22"/>
  <c r="J19" i="22" s="1"/>
  <c r="D23" i="24" s="1"/>
  <c r="B20" i="22"/>
  <c r="J20" i="22" s="1"/>
  <c r="D24" i="24" s="1"/>
  <c r="B21" i="22"/>
  <c r="J21" i="22" s="1"/>
  <c r="D25" i="24" s="1"/>
  <c r="B22" i="22"/>
  <c r="J22" i="22" s="1"/>
  <c r="D26" i="24" s="1"/>
  <c r="B23" i="22"/>
  <c r="J23" i="22" s="1"/>
  <c r="D27" i="24" s="1"/>
  <c r="B24" i="22"/>
  <c r="J24" i="22" s="1"/>
  <c r="D28" i="24" s="1"/>
  <c r="H28" i="24" s="1"/>
  <c r="B25" i="22"/>
  <c r="B26" i="22"/>
  <c r="B27" i="22"/>
  <c r="B28" i="22"/>
  <c r="J28" i="22" s="1"/>
  <c r="B29" i="22"/>
  <c r="J29" i="22" s="1"/>
  <c r="B30" i="22"/>
  <c r="J30" i="22" s="1"/>
  <c r="B31" i="22"/>
  <c r="J31" i="22" s="1"/>
  <c r="B32" i="22"/>
  <c r="J32" i="22" s="1"/>
  <c r="B33" i="22"/>
  <c r="J33" i="22" s="1"/>
  <c r="B34" i="22"/>
  <c r="J34" i="22" s="1"/>
  <c r="B35" i="22"/>
  <c r="J35" i="22" s="1"/>
  <c r="B36" i="22"/>
  <c r="J36" i="22" s="1"/>
  <c r="B37" i="22"/>
  <c r="J37" i="22" s="1"/>
  <c r="B38" i="22"/>
  <c r="J38" i="22" s="1"/>
  <c r="B39" i="22"/>
  <c r="J39" i="22" s="1"/>
  <c r="B40" i="22"/>
  <c r="J40" i="22" s="1"/>
  <c r="B41" i="22"/>
  <c r="J41" i="22" s="1"/>
  <c r="B42" i="22"/>
  <c r="J42" i="22" s="1"/>
  <c r="B43" i="22"/>
  <c r="J43" i="22" s="1"/>
  <c r="B44" i="22"/>
  <c r="J44" i="22" s="1"/>
  <c r="B45" i="22"/>
  <c r="J45" i="22" s="1"/>
  <c r="B46" i="22"/>
  <c r="J46" i="22" s="1"/>
  <c r="B47" i="22"/>
  <c r="J47" i="22" s="1"/>
  <c r="B48" i="22"/>
  <c r="J48" i="22" s="1"/>
  <c r="B49" i="22"/>
  <c r="J49" i="22" s="1"/>
  <c r="B50" i="22"/>
  <c r="J50" i="22" s="1"/>
  <c r="B51" i="22"/>
  <c r="J51" i="22" s="1"/>
  <c r="B52" i="22"/>
  <c r="J52" i="22" s="1"/>
  <c r="AB4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72" i="21"/>
  <c r="AB73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G99" i="21"/>
  <c r="AG36" i="21"/>
  <c r="AG37" i="21"/>
  <c r="AG38" i="21"/>
  <c r="AG39" i="21"/>
  <c r="AG40" i="21"/>
  <c r="AG41" i="21"/>
  <c r="AG42" i="21"/>
  <c r="AG43" i="21"/>
  <c r="AG44" i="21"/>
  <c r="AG45" i="21"/>
  <c r="AG46" i="21"/>
  <c r="AG47" i="21"/>
  <c r="AG48" i="21"/>
  <c r="AG49" i="21"/>
  <c r="AG50" i="21"/>
  <c r="AG51" i="21"/>
  <c r="AG52" i="21"/>
  <c r="AG53" i="21"/>
  <c r="AG54" i="21"/>
  <c r="AG55" i="21"/>
  <c r="AG56" i="21"/>
  <c r="AG57" i="21"/>
  <c r="AG58" i="21"/>
  <c r="AG59" i="21"/>
  <c r="AG60" i="21"/>
  <c r="AG61" i="21"/>
  <c r="AG62" i="21"/>
  <c r="AG63" i="21"/>
  <c r="AG64" i="21"/>
  <c r="AG65" i="21"/>
  <c r="AG66" i="21"/>
  <c r="AG67" i="21"/>
  <c r="AG68" i="21"/>
  <c r="AG69" i="21"/>
  <c r="AG70" i="21"/>
  <c r="AG71" i="21"/>
  <c r="AG72" i="21"/>
  <c r="AG73" i="21"/>
  <c r="AG74" i="21"/>
  <c r="AG75" i="21"/>
  <c r="AG76" i="21"/>
  <c r="AG77" i="21"/>
  <c r="AG78" i="21"/>
  <c r="AG79" i="21"/>
  <c r="AG80" i="21"/>
  <c r="AG81" i="21"/>
  <c r="AG82" i="21"/>
  <c r="AG83" i="21"/>
  <c r="AG84" i="21"/>
  <c r="AG85" i="21"/>
  <c r="AG86" i="21"/>
  <c r="AG87" i="21"/>
  <c r="AG88" i="21"/>
  <c r="AG89" i="21"/>
  <c r="AG90" i="21"/>
  <c r="AH90" i="21" s="1"/>
  <c r="AG91" i="21"/>
  <c r="AG92" i="21"/>
  <c r="AG93" i="21"/>
  <c r="AG94" i="21"/>
  <c r="AG95" i="21"/>
  <c r="AG96" i="21"/>
  <c r="AG97" i="21"/>
  <c r="AG98" i="21"/>
  <c r="AF69" i="21"/>
  <c r="AH69" i="21" s="1"/>
  <c r="AB69" i="21" s="1"/>
  <c r="AF70" i="21"/>
  <c r="AH70" i="21" s="1"/>
  <c r="AB70" i="21" s="1"/>
  <c r="AF71" i="21"/>
  <c r="AH71" i="21" s="1"/>
  <c r="AB71" i="21" s="1"/>
  <c r="AF72" i="21"/>
  <c r="AF73" i="21"/>
  <c r="AF74" i="21"/>
  <c r="AF75" i="21"/>
  <c r="AH75" i="21" s="1"/>
  <c r="AF76" i="21"/>
  <c r="AF77" i="21"/>
  <c r="AF78" i="21"/>
  <c r="AF79" i="21"/>
  <c r="AF80" i="21"/>
  <c r="AF81" i="21"/>
  <c r="AF82" i="21"/>
  <c r="AF83" i="21"/>
  <c r="AF84" i="21"/>
  <c r="AF85" i="21"/>
  <c r="AF86" i="21"/>
  <c r="AF87" i="21"/>
  <c r="AF88" i="21"/>
  <c r="AF89" i="21"/>
  <c r="AF90" i="21"/>
  <c r="AF91" i="21"/>
  <c r="AF92" i="21"/>
  <c r="AF93" i="21"/>
  <c r="AF94" i="21"/>
  <c r="AF95" i="21"/>
  <c r="AF96" i="21"/>
  <c r="AF97" i="21"/>
  <c r="AF98" i="21"/>
  <c r="AF99" i="21"/>
  <c r="AF68" i="21"/>
  <c r="AF37" i="21"/>
  <c r="AF38" i="21"/>
  <c r="AF39" i="21"/>
  <c r="AH39" i="21" s="1"/>
  <c r="AB39" i="21" s="1"/>
  <c r="AF40" i="21"/>
  <c r="AF41" i="21"/>
  <c r="AF42" i="21"/>
  <c r="AF43" i="21"/>
  <c r="AF44" i="21"/>
  <c r="AF45" i="21"/>
  <c r="AF46" i="21"/>
  <c r="AF47" i="21"/>
  <c r="AF48" i="21"/>
  <c r="AF49" i="21"/>
  <c r="AF50" i="21"/>
  <c r="AF51" i="21"/>
  <c r="AF52" i="21"/>
  <c r="AF53" i="21"/>
  <c r="AF54" i="21"/>
  <c r="AF55" i="21"/>
  <c r="AF56" i="21"/>
  <c r="AF57" i="21"/>
  <c r="AF58" i="21"/>
  <c r="AF59" i="21"/>
  <c r="AF60" i="21"/>
  <c r="AF61" i="21"/>
  <c r="AF62" i="21"/>
  <c r="AF63" i="21"/>
  <c r="AF64" i="21"/>
  <c r="AH64" i="21" s="1"/>
  <c r="AF65" i="21"/>
  <c r="AF66" i="21"/>
  <c r="AF67" i="21"/>
  <c r="AF36" i="21"/>
  <c r="AG4" i="21"/>
  <c r="AG5" i="21"/>
  <c r="AG6" i="21"/>
  <c r="AG7" i="21"/>
  <c r="AG8" i="21"/>
  <c r="AG9" i="21"/>
  <c r="AH9" i="21" s="1"/>
  <c r="AG10" i="21"/>
  <c r="AG11" i="21"/>
  <c r="AH11" i="21" s="1"/>
  <c r="AG12" i="21"/>
  <c r="AH12" i="21" s="1"/>
  <c r="AG13" i="21"/>
  <c r="AH13" i="21" s="1"/>
  <c r="AG14" i="21"/>
  <c r="AH14" i="21" s="1"/>
  <c r="AG15" i="21"/>
  <c r="AH15" i="21" s="1"/>
  <c r="AG16" i="21"/>
  <c r="AH16" i="21" s="1"/>
  <c r="AG17" i="21"/>
  <c r="AH17" i="21" s="1"/>
  <c r="AG18" i="21"/>
  <c r="AH18" i="21" s="1"/>
  <c r="AG19" i="21"/>
  <c r="AH19" i="21" s="1"/>
  <c r="AG20" i="21"/>
  <c r="AG21" i="21"/>
  <c r="AG22" i="21"/>
  <c r="AG23" i="21"/>
  <c r="AG24" i="21"/>
  <c r="AG25" i="21"/>
  <c r="AG26" i="21"/>
  <c r="AG27" i="21"/>
  <c r="AG28" i="21"/>
  <c r="AG29" i="21"/>
  <c r="AG30" i="21"/>
  <c r="AG31" i="21"/>
  <c r="AG32" i="21"/>
  <c r="AG33" i="21"/>
  <c r="AG34" i="21"/>
  <c r="AG35" i="21"/>
  <c r="AH66" i="21"/>
  <c r="AH67" i="21"/>
  <c r="AH68" i="21"/>
  <c r="AH72" i="21"/>
  <c r="AH74" i="21"/>
  <c r="AB74" i="21" s="1"/>
  <c r="AF4" i="21"/>
  <c r="AF5" i="21"/>
  <c r="AH5" i="21" s="1"/>
  <c r="AB5" i="21" s="1"/>
  <c r="AF6" i="21"/>
  <c r="AH6" i="21" s="1"/>
  <c r="AB6" i="21" s="1"/>
  <c r="AF7" i="21"/>
  <c r="AF8" i="21"/>
  <c r="AF9" i="21"/>
  <c r="AF10" i="21"/>
  <c r="AF11" i="21"/>
  <c r="AF12" i="21"/>
  <c r="AF13" i="21"/>
  <c r="AF14" i="21"/>
  <c r="AF15" i="21"/>
  <c r="AF16" i="21"/>
  <c r="AF17" i="21"/>
  <c r="AF18" i="21"/>
  <c r="AF19" i="21"/>
  <c r="AF20" i="21"/>
  <c r="AF21" i="21"/>
  <c r="AF22" i="21"/>
  <c r="AF23" i="21"/>
  <c r="AF24" i="21"/>
  <c r="AF25" i="21"/>
  <c r="AF26" i="21"/>
  <c r="AF27" i="21"/>
  <c r="AF28" i="21"/>
  <c r="AF29" i="21"/>
  <c r="AF30" i="21"/>
  <c r="AF31" i="21"/>
  <c r="AF32" i="21"/>
  <c r="AF33" i="21"/>
  <c r="AF34" i="21"/>
  <c r="AH34" i="21" s="1"/>
  <c r="AF35" i="21"/>
  <c r="AH4" i="21"/>
  <c r="AH7" i="21"/>
  <c r="AH8" i="21"/>
  <c r="AH10" i="21"/>
  <c r="AH32" i="21"/>
  <c r="AH33" i="21"/>
  <c r="AH35" i="21"/>
  <c r="AH36" i="21"/>
  <c r="AH37" i="21"/>
  <c r="AH38" i="21"/>
  <c r="AH40" i="21"/>
  <c r="AH41" i="21"/>
  <c r="AH42" i="21"/>
  <c r="AH43" i="21"/>
  <c r="AH44" i="21"/>
  <c r="AH45" i="21"/>
  <c r="AH46" i="21"/>
  <c r="AH47" i="21"/>
  <c r="AH65" i="21"/>
  <c r="AH88" i="21"/>
  <c r="AH89" i="21"/>
  <c r="AH91" i="21"/>
  <c r="AH92" i="21"/>
  <c r="AH93" i="21"/>
  <c r="AH94" i="21"/>
  <c r="AH95" i="21"/>
  <c r="AH96" i="21"/>
  <c r="AH97" i="21"/>
  <c r="AH98" i="21"/>
  <c r="AH99" i="21"/>
  <c r="G32" i="22" l="1"/>
  <c r="G29" i="22"/>
  <c r="H20" i="24"/>
  <c r="H15" i="24"/>
  <c r="H24" i="24"/>
  <c r="H25" i="24"/>
  <c r="H19" i="24"/>
  <c r="H12" i="24"/>
  <c r="H22" i="24"/>
  <c r="H18" i="24"/>
  <c r="H26" i="24"/>
  <c r="H27" i="24"/>
  <c r="H14" i="24"/>
  <c r="H17" i="24"/>
  <c r="H13" i="24"/>
  <c r="J5" i="22"/>
  <c r="D9" i="24" s="1"/>
  <c r="J3" i="22"/>
  <c r="D7" i="24" s="1"/>
  <c r="H7" i="24" s="1"/>
  <c r="J4" i="22"/>
  <c r="D8" i="24" s="1"/>
  <c r="H8" i="24" s="1"/>
  <c r="J7" i="22"/>
  <c r="D11" i="24" s="1"/>
  <c r="H11" i="24" s="1"/>
  <c r="J6" i="22"/>
  <c r="D10" i="24" s="1"/>
  <c r="H10" i="24" s="1"/>
  <c r="G47" i="22"/>
  <c r="G19" i="22"/>
  <c r="C23" i="24" s="1"/>
  <c r="G35" i="22"/>
  <c r="G7" i="22"/>
  <c r="C11" i="24" s="1"/>
  <c r="G4" i="22"/>
  <c r="C8" i="24" s="1"/>
  <c r="G31" i="22"/>
  <c r="G3" i="22"/>
  <c r="C7" i="24" s="1"/>
  <c r="G30" i="22"/>
  <c r="G28" i="22"/>
  <c r="G48" i="22"/>
  <c r="G20" i="22"/>
  <c r="C24" i="24" s="1"/>
  <c r="G46" i="22"/>
  <c r="G18" i="22"/>
  <c r="C22" i="24" s="1"/>
  <c r="G45" i="22"/>
  <c r="G17" i="22"/>
  <c r="C21" i="24" s="1"/>
  <c r="G44" i="22"/>
  <c r="G16" i="22"/>
  <c r="C20" i="24" s="1"/>
  <c r="G43" i="22"/>
  <c r="G42" i="22"/>
  <c r="G14" i="22"/>
  <c r="C18" i="24" s="1"/>
  <c r="G41" i="22"/>
  <c r="G13" i="22"/>
  <c r="C17" i="24" s="1"/>
  <c r="G26" i="22"/>
  <c r="C30" i="24" s="1"/>
  <c r="G25" i="22"/>
  <c r="C29" i="24" s="1"/>
  <c r="G24" i="22"/>
  <c r="C28" i="24" s="1"/>
  <c r="G23" i="22"/>
  <c r="C27" i="24" s="1"/>
  <c r="G38" i="22"/>
  <c r="G10" i="22"/>
  <c r="C14" i="24" s="1"/>
  <c r="G37" i="22"/>
  <c r="G9" i="22"/>
  <c r="C13" i="24" s="1"/>
  <c r="G40" i="22"/>
  <c r="G12" i="22"/>
  <c r="C16" i="24" s="1"/>
  <c r="G34" i="22"/>
  <c r="G6" i="22"/>
  <c r="C10" i="24" s="1"/>
  <c r="G39" i="22"/>
  <c r="G11" i="22"/>
  <c r="C15" i="24" s="1"/>
  <c r="G33" i="22"/>
  <c r="G5" i="22"/>
  <c r="C9" i="24" s="1"/>
  <c r="AH73" i="21"/>
  <c r="AH60" i="21"/>
  <c r="AH61" i="21"/>
  <c r="AH63" i="21"/>
  <c r="AH62" i="21"/>
  <c r="AH30" i="21"/>
  <c r="AH28" i="21"/>
  <c r="AH26" i="21"/>
  <c r="AH81" i="21"/>
  <c r="AH53" i="21"/>
  <c r="AH25" i="21"/>
  <c r="AH31" i="21"/>
  <c r="AH85" i="21"/>
  <c r="AH84" i="21"/>
  <c r="AH55" i="21"/>
  <c r="AH27" i="21"/>
  <c r="AH80" i="21"/>
  <c r="AH52" i="21"/>
  <c r="AH24" i="21"/>
  <c r="AH59" i="21"/>
  <c r="AH57" i="21"/>
  <c r="AH56" i="21"/>
  <c r="AH79" i="21"/>
  <c r="AH51" i="21"/>
  <c r="AH23" i="21"/>
  <c r="AH58" i="21"/>
  <c r="AH83" i="21"/>
  <c r="AH82" i="21"/>
  <c r="AH54" i="21"/>
  <c r="AH78" i="21"/>
  <c r="AH50" i="21"/>
  <c r="AH22" i="21"/>
  <c r="AH87" i="21"/>
  <c r="AH86" i="21"/>
  <c r="AH29" i="21"/>
  <c r="AH77" i="21"/>
  <c r="AH49" i="21"/>
  <c r="AH21" i="21"/>
  <c r="AH76" i="21"/>
  <c r="AH48" i="21"/>
  <c r="AH20" i="21"/>
  <c r="H16" i="24" l="1"/>
  <c r="H33" i="24" s="1"/>
  <c r="H23" i="24"/>
  <c r="H34" i="24" s="1"/>
  <c r="H9" i="24"/>
  <c r="H32" i="24" s="1"/>
  <c r="Z19" i="21"/>
  <c r="Z18" i="21"/>
  <c r="Z17" i="21"/>
  <c r="Z5" i="21"/>
  <c r="Z6" i="21"/>
  <c r="Z7" i="21"/>
  <c r="Z8" i="21"/>
  <c r="Z9" i="21"/>
  <c r="Z10" i="21"/>
  <c r="Z11" i="21"/>
  <c r="Z12" i="21"/>
  <c r="Z13" i="21"/>
  <c r="Z14" i="21"/>
  <c r="Z15" i="21"/>
  <c r="Z16" i="21"/>
  <c r="Z4" i="21"/>
  <c r="P4" i="21"/>
  <c r="P8" i="21"/>
  <c r="P9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I4" i="21"/>
  <c r="I5" i="21"/>
  <c r="I6" i="21"/>
  <c r="I10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B5" i="21"/>
  <c r="B6" i="21"/>
  <c r="B8" i="21"/>
  <c r="B9" i="21"/>
  <c r="B28" i="21"/>
  <c r="B29" i="21"/>
  <c r="B30" i="21"/>
  <c r="B31" i="21"/>
  <c r="B32" i="21"/>
  <c r="B33" i="21"/>
  <c r="B34" i="21"/>
  <c r="B35" i="21"/>
  <c r="U35" i="21"/>
  <c r="P35" i="21" s="1"/>
  <c r="U34" i="21"/>
  <c r="U33" i="21"/>
  <c r="U32" i="21"/>
  <c r="U31" i="21"/>
  <c r="U30" i="21"/>
  <c r="U29" i="21"/>
  <c r="U28" i="21"/>
  <c r="U27" i="21"/>
  <c r="U26" i="21"/>
  <c r="U25" i="21"/>
  <c r="U24" i="21"/>
  <c r="U23" i="21"/>
  <c r="U22" i="21"/>
  <c r="P22" i="21" s="1"/>
  <c r="U21" i="21"/>
  <c r="P21" i="21" s="1"/>
  <c r="U20" i="21"/>
  <c r="P20" i="21" s="1"/>
  <c r="U19" i="21"/>
  <c r="P19" i="21" s="1"/>
  <c r="U18" i="21"/>
  <c r="P18" i="21" s="1"/>
  <c r="U17" i="21"/>
  <c r="P17" i="21" s="1"/>
  <c r="U16" i="21"/>
  <c r="P16" i="21" s="1"/>
  <c r="U15" i="21"/>
  <c r="P15" i="21" s="1"/>
  <c r="U14" i="21"/>
  <c r="P14" i="21" s="1"/>
  <c r="U13" i="21"/>
  <c r="P13" i="21" s="1"/>
  <c r="U12" i="21"/>
  <c r="P12" i="21" s="1"/>
  <c r="U11" i="21"/>
  <c r="P11" i="21" s="1"/>
  <c r="U10" i="21"/>
  <c r="P10" i="21" s="1"/>
  <c r="U9" i="21"/>
  <c r="U8" i="21"/>
  <c r="U7" i="21"/>
  <c r="U6" i="21"/>
  <c r="P6" i="21" s="1"/>
  <c r="U5" i="21"/>
  <c r="P5" i="21" s="1"/>
  <c r="U4" i="21"/>
  <c r="N35" i="21"/>
  <c r="N34" i="21"/>
  <c r="N33" i="21"/>
  <c r="N32" i="21"/>
  <c r="N31" i="21"/>
  <c r="N30" i="21"/>
  <c r="N29" i="21"/>
  <c r="N28" i="21"/>
  <c r="N27" i="21"/>
  <c r="N26" i="21"/>
  <c r="N25" i="21"/>
  <c r="N24" i="21"/>
  <c r="N23" i="21"/>
  <c r="I23" i="21" s="1"/>
  <c r="N22" i="21"/>
  <c r="I22" i="21" s="1"/>
  <c r="N21" i="21"/>
  <c r="I21" i="21" s="1"/>
  <c r="N20" i="21"/>
  <c r="I20" i="21" s="1"/>
  <c r="N19" i="21"/>
  <c r="I19" i="21" s="1"/>
  <c r="N18" i="21"/>
  <c r="I18" i="21" s="1"/>
  <c r="N17" i="21"/>
  <c r="I17" i="21" s="1"/>
  <c r="N16" i="21"/>
  <c r="I16" i="21" s="1"/>
  <c r="N15" i="21"/>
  <c r="I15" i="21" s="1"/>
  <c r="N14" i="21"/>
  <c r="I14" i="21" s="1"/>
  <c r="N13" i="21"/>
  <c r="I13" i="21" s="1"/>
  <c r="N12" i="21"/>
  <c r="I12" i="21" s="1"/>
  <c r="N11" i="21"/>
  <c r="I11" i="21" s="1"/>
  <c r="N10" i="21"/>
  <c r="N9" i="21"/>
  <c r="I9" i="21" s="1"/>
  <c r="N8" i="21"/>
  <c r="I8" i="21" s="1"/>
  <c r="N7" i="21"/>
  <c r="I7" i="21" s="1"/>
  <c r="N6" i="21"/>
  <c r="N5" i="21"/>
  <c r="N4" i="21"/>
  <c r="G4" i="21"/>
  <c r="B4" i="21" s="1"/>
  <c r="G5" i="21"/>
  <c r="G6" i="21"/>
  <c r="G7" i="21"/>
  <c r="B7" i="21" s="1"/>
  <c r="G8" i="21"/>
  <c r="G9" i="21"/>
  <c r="G10" i="21"/>
  <c r="B10" i="21" s="1"/>
  <c r="G11" i="21"/>
  <c r="B11" i="21" s="1"/>
  <c r="G12" i="21"/>
  <c r="B12" i="21" s="1"/>
  <c r="G13" i="21"/>
  <c r="B13" i="21" s="1"/>
  <c r="G14" i="21"/>
  <c r="B14" i="21" s="1"/>
  <c r="G15" i="21"/>
  <c r="B15" i="21" s="1"/>
  <c r="G16" i="21"/>
  <c r="B16" i="21" s="1"/>
  <c r="G17" i="21"/>
  <c r="B17" i="21" s="1"/>
  <c r="G18" i="21"/>
  <c r="B18" i="21" s="1"/>
  <c r="G19" i="21"/>
  <c r="B19" i="21" s="1"/>
  <c r="G20" i="21"/>
  <c r="B20" i="21" s="1"/>
  <c r="G21" i="21"/>
  <c r="B21" i="21" s="1"/>
  <c r="G22" i="21"/>
  <c r="B22" i="21" s="1"/>
  <c r="G23" i="21"/>
  <c r="B23" i="21" s="1"/>
  <c r="G24" i="21"/>
  <c r="B24" i="21" s="1"/>
  <c r="G25" i="21"/>
  <c r="B25" i="21" s="1"/>
  <c r="G26" i="21"/>
  <c r="B26" i="21" s="1"/>
  <c r="G27" i="21"/>
  <c r="B27" i="21" s="1"/>
  <c r="G28" i="21"/>
  <c r="G29" i="21"/>
  <c r="G30" i="21"/>
  <c r="G31" i="21"/>
  <c r="G32" i="21"/>
  <c r="G33" i="21"/>
  <c r="G34" i="21"/>
  <c r="G35" i="21"/>
  <c r="U7" i="20"/>
  <c r="U6" i="20"/>
  <c r="U5" i="20"/>
  <c r="U4" i="20"/>
  <c r="U3" i="20"/>
  <c r="U2" i="20"/>
  <c r="E33" i="18"/>
  <c r="F33" i="18"/>
  <c r="G33" i="18"/>
  <c r="H33" i="18"/>
  <c r="G34" i="6"/>
  <c r="G33" i="6"/>
  <c r="G32" i="6"/>
  <c r="A39" i="17"/>
  <c r="A40" i="17"/>
  <c r="A41" i="17"/>
  <c r="B32" i="17"/>
  <c r="D32" i="17" s="1"/>
  <c r="B33" i="17"/>
  <c r="D33" i="17" s="1"/>
  <c r="B34" i="17"/>
  <c r="D34" i="17" s="1"/>
  <c r="B35" i="17"/>
  <c r="B36" i="17"/>
  <c r="D36" i="17" s="1"/>
  <c r="B37" i="17"/>
  <c r="B38" i="17"/>
  <c r="D38" i="17" s="1"/>
  <c r="B31" i="17"/>
  <c r="D31" i="17" s="1"/>
  <c r="B24" i="17"/>
  <c r="D24" i="17" s="1"/>
  <c r="B25" i="17"/>
  <c r="D25" i="17" s="1"/>
  <c r="B26" i="17"/>
  <c r="D26" i="17" s="1"/>
  <c r="B27" i="17"/>
  <c r="D27" i="17" s="1"/>
  <c r="B28" i="17"/>
  <c r="D28" i="17" s="1"/>
  <c r="B29" i="17"/>
  <c r="D29" i="17" s="1"/>
  <c r="B30" i="17"/>
  <c r="D30" i="17" s="1"/>
  <c r="B23" i="17"/>
  <c r="D23" i="17" s="1"/>
  <c r="B16" i="17"/>
  <c r="D16" i="17" s="1"/>
  <c r="B17" i="17"/>
  <c r="D17" i="17" s="1"/>
  <c r="B18" i="17"/>
  <c r="D18" i="17" s="1"/>
  <c r="B19" i="17"/>
  <c r="B20" i="17"/>
  <c r="D20" i="17" s="1"/>
  <c r="B21" i="17"/>
  <c r="D21" i="17" s="1"/>
  <c r="B22" i="17"/>
  <c r="D22" i="17" s="1"/>
  <c r="B15" i="17"/>
  <c r="D15" i="17" s="1"/>
  <c r="D19" i="17"/>
  <c r="D39" i="17"/>
  <c r="D40" i="17"/>
  <c r="D41" i="17"/>
  <c r="H35" i="24" l="1"/>
  <c r="B2" i="21"/>
  <c r="I2" i="21"/>
  <c r="P2" i="21"/>
  <c r="P7" i="21"/>
  <c r="D35" i="17"/>
  <c r="D37" i="17"/>
  <c r="G41" i="17"/>
  <c r="G40" i="17"/>
  <c r="G39" i="17"/>
  <c r="G38" i="17"/>
  <c r="G37" i="17"/>
  <c r="G36" i="17"/>
  <c r="G35" i="17"/>
  <c r="G34" i="17"/>
  <c r="G33" i="17"/>
  <c r="G32" i="17"/>
  <c r="G31" i="17"/>
  <c r="I4" i="17"/>
  <c r="R30" i="17" s="1"/>
  <c r="C42" i="19"/>
  <c r="G20" i="17"/>
  <c r="N32" i="19"/>
  <c r="G15" i="17"/>
  <c r="G16" i="17"/>
  <c r="G17" i="17"/>
  <c r="G18" i="17"/>
  <c r="G19" i="17"/>
  <c r="G29" i="17"/>
  <c r="G30" i="17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L41" i="19"/>
  <c r="K41" i="19"/>
  <c r="J41" i="19"/>
  <c r="I41" i="19"/>
  <c r="H41" i="19"/>
  <c r="G41" i="19"/>
  <c r="M39" i="19"/>
  <c r="M38" i="19"/>
  <c r="M37" i="19"/>
  <c r="M35" i="19"/>
  <c r="I33" i="19"/>
  <c r="J33" i="19"/>
  <c r="K33" i="19"/>
  <c r="L33" i="19"/>
  <c r="H33" i="19"/>
  <c r="G33" i="19"/>
  <c r="N27" i="19"/>
  <c r="N28" i="19"/>
  <c r="N29" i="19"/>
  <c r="N30" i="19"/>
  <c r="N31" i="19"/>
  <c r="M27" i="19"/>
  <c r="M28" i="19"/>
  <c r="M29" i="19"/>
  <c r="M30" i="19"/>
  <c r="M31" i="19"/>
  <c r="M32" i="19"/>
  <c r="M34" i="19"/>
  <c r="C39" i="19"/>
  <c r="C38" i="19"/>
  <c r="C32" i="19"/>
  <c r="C35" i="19"/>
  <c r="H5" i="6"/>
  <c r="H4" i="6"/>
  <c r="E6" i="18"/>
  <c r="F6" i="18"/>
  <c r="G6" i="18"/>
  <c r="H6" i="18"/>
  <c r="E7" i="18"/>
  <c r="F7" i="18"/>
  <c r="G7" i="18"/>
  <c r="H7" i="18"/>
  <c r="E8" i="18"/>
  <c r="F8" i="18"/>
  <c r="G8" i="18"/>
  <c r="H8" i="18"/>
  <c r="E9" i="18"/>
  <c r="F9" i="18"/>
  <c r="G9" i="18"/>
  <c r="H9" i="18"/>
  <c r="E10" i="18"/>
  <c r="F10" i="18"/>
  <c r="G10" i="18"/>
  <c r="H10" i="18"/>
  <c r="E11" i="18"/>
  <c r="F11" i="18"/>
  <c r="G11" i="18"/>
  <c r="H11" i="18"/>
  <c r="E12" i="18"/>
  <c r="F12" i="18"/>
  <c r="G12" i="18"/>
  <c r="H12" i="18"/>
  <c r="E13" i="18"/>
  <c r="F13" i="18"/>
  <c r="G13" i="18"/>
  <c r="H13" i="18"/>
  <c r="E14" i="18"/>
  <c r="F14" i="18"/>
  <c r="G14" i="18"/>
  <c r="H14" i="18"/>
  <c r="E15" i="18"/>
  <c r="F15" i="18"/>
  <c r="G15" i="18"/>
  <c r="H15" i="18"/>
  <c r="E16" i="18"/>
  <c r="F16" i="18"/>
  <c r="G16" i="18"/>
  <c r="H16" i="18"/>
  <c r="E17" i="18"/>
  <c r="F17" i="18"/>
  <c r="G17" i="18"/>
  <c r="H17" i="18"/>
  <c r="E18" i="18"/>
  <c r="F18" i="18"/>
  <c r="G18" i="18"/>
  <c r="H18" i="18"/>
  <c r="E19" i="18"/>
  <c r="F19" i="18"/>
  <c r="G19" i="18"/>
  <c r="H19" i="18"/>
  <c r="E20" i="18"/>
  <c r="F20" i="18"/>
  <c r="G20" i="18"/>
  <c r="H20" i="18"/>
  <c r="E21" i="18"/>
  <c r="F21" i="18"/>
  <c r="G21" i="18"/>
  <c r="H21" i="18"/>
  <c r="E22" i="18"/>
  <c r="F22" i="18"/>
  <c r="G22" i="18"/>
  <c r="H22" i="18"/>
  <c r="E23" i="18"/>
  <c r="F23" i="18"/>
  <c r="G23" i="18"/>
  <c r="H23" i="18"/>
  <c r="E24" i="18"/>
  <c r="F24" i="18"/>
  <c r="G24" i="18"/>
  <c r="H24" i="18"/>
  <c r="E25" i="18"/>
  <c r="F25" i="18"/>
  <c r="G25" i="18"/>
  <c r="H25" i="18"/>
  <c r="E26" i="18"/>
  <c r="F26" i="18"/>
  <c r="G26" i="18"/>
  <c r="H26" i="18"/>
  <c r="E27" i="18"/>
  <c r="F27" i="18"/>
  <c r="G27" i="18"/>
  <c r="H27" i="18"/>
  <c r="E28" i="18"/>
  <c r="F28" i="18"/>
  <c r="G28" i="18"/>
  <c r="H28" i="18"/>
  <c r="E29" i="18"/>
  <c r="F29" i="18"/>
  <c r="G29" i="18"/>
  <c r="H29" i="18"/>
  <c r="E30" i="18"/>
  <c r="F30" i="18"/>
  <c r="G30" i="18"/>
  <c r="H30" i="18"/>
  <c r="E31" i="18"/>
  <c r="F31" i="18"/>
  <c r="G31" i="18"/>
  <c r="H31" i="18"/>
  <c r="E32" i="18"/>
  <c r="F32" i="18"/>
  <c r="G32" i="18"/>
  <c r="H32" i="18"/>
  <c r="E34" i="18"/>
  <c r="F34" i="18"/>
  <c r="G34" i="18"/>
  <c r="H34" i="18"/>
  <c r="E35" i="18"/>
  <c r="F35" i="18"/>
  <c r="G35" i="18"/>
  <c r="H35" i="18"/>
  <c r="E36" i="18"/>
  <c r="F36" i="18"/>
  <c r="G36" i="18"/>
  <c r="H36" i="18"/>
  <c r="E37" i="18"/>
  <c r="F37" i="18"/>
  <c r="G37" i="18"/>
  <c r="H37" i="18"/>
  <c r="E38" i="18"/>
  <c r="F38" i="18"/>
  <c r="G38" i="18"/>
  <c r="H38" i="18"/>
  <c r="E39" i="18"/>
  <c r="F39" i="18"/>
  <c r="G39" i="18"/>
  <c r="H39" i="18"/>
  <c r="E40" i="18"/>
  <c r="F40" i="18"/>
  <c r="G40" i="18"/>
  <c r="H40" i="18"/>
  <c r="E41" i="18"/>
  <c r="F41" i="18"/>
  <c r="G41" i="18"/>
  <c r="H41" i="18"/>
  <c r="E42" i="18"/>
  <c r="F42" i="18"/>
  <c r="G42" i="18"/>
  <c r="H42" i="18"/>
  <c r="E43" i="18"/>
  <c r="F43" i="18"/>
  <c r="G43" i="18"/>
  <c r="H43" i="18"/>
  <c r="E44" i="18"/>
  <c r="F44" i="18"/>
  <c r="G44" i="18"/>
  <c r="H44" i="18"/>
  <c r="E45" i="18"/>
  <c r="F45" i="18"/>
  <c r="G45" i="18"/>
  <c r="H45" i="18"/>
  <c r="E46" i="18"/>
  <c r="F46" i="18"/>
  <c r="G46" i="18"/>
  <c r="H46" i="18"/>
  <c r="E47" i="18"/>
  <c r="F47" i="18"/>
  <c r="G47" i="18"/>
  <c r="H47" i="18"/>
  <c r="E48" i="18"/>
  <c r="F48" i="18"/>
  <c r="G48" i="18"/>
  <c r="H48" i="18"/>
  <c r="E49" i="18"/>
  <c r="F49" i="18"/>
  <c r="G49" i="18"/>
  <c r="H49" i="18"/>
  <c r="E50" i="18"/>
  <c r="F50" i="18"/>
  <c r="G50" i="18"/>
  <c r="H50" i="18"/>
  <c r="F5" i="18"/>
  <c r="G5" i="18"/>
  <c r="H5" i="18"/>
  <c r="E5" i="18"/>
  <c r="R20" i="17" l="1"/>
  <c r="R18" i="17"/>
  <c r="M33" i="19"/>
  <c r="I29" i="17" s="1"/>
  <c r="T29" i="17" s="1"/>
  <c r="J41" i="17"/>
  <c r="K41" i="17" s="1"/>
  <c r="J30" i="17"/>
  <c r="K30" i="17" s="1"/>
  <c r="J19" i="17"/>
  <c r="K19" i="17" s="1"/>
  <c r="J17" i="17"/>
  <c r="K17" i="17" s="1"/>
  <c r="J15" i="17"/>
  <c r="K15" i="17" s="1"/>
  <c r="J20" i="17"/>
  <c r="K20" i="17" s="1"/>
  <c r="J38" i="17"/>
  <c r="K38" i="17" s="1"/>
  <c r="J39" i="17"/>
  <c r="K39" i="17" s="1"/>
  <c r="J40" i="17"/>
  <c r="K40" i="17" s="1"/>
  <c r="M40" i="17" s="1"/>
  <c r="I18" i="17"/>
  <c r="T18" i="17" s="1"/>
  <c r="J16" i="17"/>
  <c r="K16" i="17" s="1"/>
  <c r="J32" i="17"/>
  <c r="K32" i="17" s="1"/>
  <c r="J31" i="17"/>
  <c r="K31" i="17" s="1"/>
  <c r="J33" i="17"/>
  <c r="K33" i="17" s="1"/>
  <c r="J35" i="17"/>
  <c r="K35" i="17" s="1"/>
  <c r="J36" i="17"/>
  <c r="K36" i="17" s="1"/>
  <c r="R19" i="17"/>
  <c r="R38" i="17"/>
  <c r="L31" i="17"/>
  <c r="I36" i="17"/>
  <c r="T36" i="17" s="1"/>
  <c r="I38" i="17"/>
  <c r="T38" i="17" s="1"/>
  <c r="Y38" i="17" s="1"/>
  <c r="I39" i="17"/>
  <c r="T39" i="17" s="1"/>
  <c r="I40" i="17"/>
  <c r="T40" i="17" s="1"/>
  <c r="L41" i="17"/>
  <c r="S41" i="17" s="1"/>
  <c r="I41" i="17"/>
  <c r="T41" i="17" s="1"/>
  <c r="I17" i="17"/>
  <c r="I16" i="17"/>
  <c r="I15" i="17"/>
  <c r="I20" i="17"/>
  <c r="L32" i="17"/>
  <c r="R34" i="17"/>
  <c r="L34" i="17"/>
  <c r="S34" i="17" s="1"/>
  <c r="R35" i="17"/>
  <c r="L35" i="17"/>
  <c r="S35" i="17" s="1"/>
  <c r="R36" i="17"/>
  <c r="L36" i="17"/>
  <c r="S36" i="17" s="1"/>
  <c r="R37" i="17"/>
  <c r="L30" i="17"/>
  <c r="I35" i="17"/>
  <c r="T35" i="17" s="1"/>
  <c r="L15" i="17"/>
  <c r="A15" i="17" s="1"/>
  <c r="I31" i="17"/>
  <c r="C31" i="17" s="1"/>
  <c r="E31" i="17" s="1"/>
  <c r="W31" i="17" s="1"/>
  <c r="I30" i="17"/>
  <c r="C30" i="17" s="1"/>
  <c r="E30" i="17" s="1"/>
  <c r="W30" i="17" s="1"/>
  <c r="R39" i="17"/>
  <c r="I19" i="17"/>
  <c r="T19" i="17" s="1"/>
  <c r="L40" i="17"/>
  <c r="S40" i="17" s="1"/>
  <c r="L39" i="17"/>
  <c r="S39" i="17" s="1"/>
  <c r="R41" i="17"/>
  <c r="L38" i="17"/>
  <c r="L33" i="17"/>
  <c r="S33" i="17" s="1"/>
  <c r="I34" i="17"/>
  <c r="I33" i="17"/>
  <c r="T33" i="17" s="1"/>
  <c r="I32" i="17"/>
  <c r="T32" i="17" s="1"/>
  <c r="L20" i="17"/>
  <c r="S20" i="17" s="1"/>
  <c r="L18" i="17"/>
  <c r="R31" i="17"/>
  <c r="R32" i="17"/>
  <c r="R40" i="17"/>
  <c r="R16" i="17"/>
  <c r="R33" i="17"/>
  <c r="R15" i="17"/>
  <c r="L16" i="17"/>
  <c r="S16" i="17" s="1"/>
  <c r="L17" i="17"/>
  <c r="L19" i="17"/>
  <c r="S19" i="17" s="1"/>
  <c r="R17" i="17"/>
  <c r="R21" i="17"/>
  <c r="R22" i="17"/>
  <c r="R23" i="17"/>
  <c r="R24" i="17"/>
  <c r="R25" i="17"/>
  <c r="R26" i="17"/>
  <c r="R27" i="17"/>
  <c r="R28" i="17"/>
  <c r="R29" i="17"/>
  <c r="N33" i="19"/>
  <c r="J37" i="17" s="1"/>
  <c r="K37" i="17" s="1"/>
  <c r="M36" i="19"/>
  <c r="G28" i="17"/>
  <c r="J28" i="17" s="1"/>
  <c r="N45" i="19"/>
  <c r="M40" i="19"/>
  <c r="N44" i="19"/>
  <c r="M41" i="19"/>
  <c r="N43" i="19"/>
  <c r="N41" i="19"/>
  <c r="N42" i="19"/>
  <c r="N40" i="19"/>
  <c r="G27" i="17"/>
  <c r="J27" i="17" s="1"/>
  <c r="N39" i="19"/>
  <c r="G26" i="17"/>
  <c r="N38" i="19"/>
  <c r="J18" i="17" s="1"/>
  <c r="K18" i="17" s="1"/>
  <c r="G25" i="17"/>
  <c r="J25" i="17" s="1"/>
  <c r="N37" i="19"/>
  <c r="M42" i="19"/>
  <c r="G24" i="17"/>
  <c r="J24" i="17" s="1"/>
  <c r="N36" i="19"/>
  <c r="M43" i="19"/>
  <c r="G23" i="17"/>
  <c r="J23" i="17" s="1"/>
  <c r="N35" i="19"/>
  <c r="M44" i="19"/>
  <c r="G22" i="17"/>
  <c r="J22" i="17" s="1"/>
  <c r="N34" i="19"/>
  <c r="M45" i="19"/>
  <c r="G21" i="17"/>
  <c r="C33" i="19"/>
  <c r="L37" i="17" s="1"/>
  <c r="S37" i="17" s="1"/>
  <c r="C37" i="19"/>
  <c r="C45" i="19" s="1"/>
  <c r="S38" i="17" l="1"/>
  <c r="A38" i="17"/>
  <c r="S31" i="17"/>
  <c r="S15" i="17"/>
  <c r="I37" i="17"/>
  <c r="T37" i="17" s="1"/>
  <c r="Y37" i="17" s="1"/>
  <c r="Y41" i="17"/>
  <c r="J21" i="17"/>
  <c r="K21" i="17" s="1"/>
  <c r="M18" i="17"/>
  <c r="O18" i="17" s="1"/>
  <c r="J29" i="17"/>
  <c r="K29" i="17" s="1"/>
  <c r="M29" i="17" s="1"/>
  <c r="S18" i="17"/>
  <c r="S17" i="17"/>
  <c r="A16" i="17"/>
  <c r="Y36" i="17"/>
  <c r="M31" i="17"/>
  <c r="O31" i="17" s="1"/>
  <c r="J26" i="17"/>
  <c r="K26" i="17" s="1"/>
  <c r="J34" i="17"/>
  <c r="K34" i="17" s="1"/>
  <c r="M34" i="17" s="1"/>
  <c r="O34" i="17" s="1"/>
  <c r="M38" i="17"/>
  <c r="O38" i="17" s="1"/>
  <c r="M36" i="17"/>
  <c r="O36" i="17" s="1"/>
  <c r="Y39" i="17"/>
  <c r="Y35" i="17"/>
  <c r="N34" i="17"/>
  <c r="T34" i="17"/>
  <c r="Y34" i="17" s="1"/>
  <c r="N20" i="17"/>
  <c r="T20" i="17"/>
  <c r="Y20" i="17" s="1"/>
  <c r="N15" i="17"/>
  <c r="T15" i="17"/>
  <c r="Y15" i="17" s="1"/>
  <c r="N16" i="17"/>
  <c r="T16" i="17"/>
  <c r="Y16" i="17" s="1"/>
  <c r="Y33" i="17"/>
  <c r="Y40" i="17"/>
  <c r="N30" i="17"/>
  <c r="T30" i="17"/>
  <c r="Y30" i="17" s="1"/>
  <c r="Y32" i="17"/>
  <c r="N17" i="17"/>
  <c r="T17" i="17"/>
  <c r="Y17" i="17" s="1"/>
  <c r="N31" i="17"/>
  <c r="T31" i="17"/>
  <c r="Y31" i="17" s="1"/>
  <c r="C19" i="17"/>
  <c r="E19" i="17" s="1"/>
  <c r="W19" i="17" s="1"/>
  <c r="N19" i="17"/>
  <c r="C40" i="17"/>
  <c r="E40" i="17" s="1"/>
  <c r="W40" i="17" s="1"/>
  <c r="N40" i="17"/>
  <c r="C38" i="17"/>
  <c r="E38" i="17" s="1"/>
  <c r="W38" i="17" s="1"/>
  <c r="N38" i="17"/>
  <c r="C29" i="17"/>
  <c r="E29" i="17" s="1"/>
  <c r="W29" i="17" s="1"/>
  <c r="N29" i="17"/>
  <c r="C32" i="17"/>
  <c r="E32" i="17" s="1"/>
  <c r="W32" i="17" s="1"/>
  <c r="N32" i="17"/>
  <c r="C39" i="17"/>
  <c r="E39" i="17" s="1"/>
  <c r="W39" i="17" s="1"/>
  <c r="N39" i="17"/>
  <c r="C36" i="17"/>
  <c r="E36" i="17" s="1"/>
  <c r="W36" i="17" s="1"/>
  <c r="N36" i="17"/>
  <c r="C33" i="17"/>
  <c r="E33" i="17" s="1"/>
  <c r="W33" i="17" s="1"/>
  <c r="N33" i="17"/>
  <c r="C18" i="17"/>
  <c r="E18" i="17" s="1"/>
  <c r="W18" i="17" s="1"/>
  <c r="N18" i="17"/>
  <c r="C41" i="17"/>
  <c r="E41" i="17" s="1"/>
  <c r="W41" i="17" s="1"/>
  <c r="N41" i="17"/>
  <c r="C35" i="17"/>
  <c r="E35" i="17" s="1"/>
  <c r="W35" i="17" s="1"/>
  <c r="N35" i="17"/>
  <c r="H41" i="17"/>
  <c r="S32" i="17"/>
  <c r="M35" i="17"/>
  <c r="O35" i="17" s="1"/>
  <c r="M39" i="17"/>
  <c r="O39" i="17" s="1"/>
  <c r="O40" i="17"/>
  <c r="M41" i="17"/>
  <c r="O41" i="17" s="1"/>
  <c r="H36" i="17"/>
  <c r="S30" i="17"/>
  <c r="M33" i="17"/>
  <c r="O33" i="17" s="1"/>
  <c r="H38" i="17"/>
  <c r="K28" i="17"/>
  <c r="I28" i="17"/>
  <c r="I24" i="17"/>
  <c r="K24" i="17"/>
  <c r="H35" i="17"/>
  <c r="K25" i="17"/>
  <c r="I25" i="17"/>
  <c r="L24" i="17"/>
  <c r="I26" i="17"/>
  <c r="T26" i="17" s="1"/>
  <c r="L25" i="17"/>
  <c r="S25" i="17" s="1"/>
  <c r="K27" i="17"/>
  <c r="I27" i="17"/>
  <c r="C34" i="17"/>
  <c r="E34" i="17" s="1"/>
  <c r="W34" i="17" s="1"/>
  <c r="L28" i="17"/>
  <c r="S28" i="17" s="1"/>
  <c r="L26" i="17"/>
  <c r="S26" i="17" s="1"/>
  <c r="L27" i="17"/>
  <c r="S27" i="17" s="1"/>
  <c r="H39" i="17"/>
  <c r="M32" i="17"/>
  <c r="O32" i="17" s="1"/>
  <c r="H40" i="17"/>
  <c r="M37" i="17"/>
  <c r="O37" i="17" s="1"/>
  <c r="I21" i="17"/>
  <c r="T21" i="17" s="1"/>
  <c r="H31" i="17"/>
  <c r="K22" i="17"/>
  <c r="I22" i="17"/>
  <c r="T22" i="17" s="1"/>
  <c r="Y22" i="17" s="1"/>
  <c r="L22" i="17"/>
  <c r="H32" i="17"/>
  <c r="H33" i="17"/>
  <c r="I23" i="17"/>
  <c r="T23" i="17" s="1"/>
  <c r="Y23" i="17" s="1"/>
  <c r="L23" i="17"/>
  <c r="K23" i="17"/>
  <c r="M30" i="17"/>
  <c r="O30" i="17" s="1"/>
  <c r="L29" i="17"/>
  <c r="S29" i="17" s="1"/>
  <c r="L21" i="17"/>
  <c r="S21" i="17" s="1"/>
  <c r="M20" i="17"/>
  <c r="O20" i="17" s="1"/>
  <c r="M19" i="17"/>
  <c r="O19" i="17" s="1"/>
  <c r="Y19" i="17"/>
  <c r="Y29" i="17"/>
  <c r="H18" i="17"/>
  <c r="Y18" i="17"/>
  <c r="H19" i="17"/>
  <c r="H30" i="17"/>
  <c r="M16" i="17"/>
  <c r="O16" i="17" s="1"/>
  <c r="M17" i="17"/>
  <c r="O17" i="17" s="1"/>
  <c r="C16" i="17"/>
  <c r="E16" i="17" s="1"/>
  <c r="W16" i="17" s="1"/>
  <c r="C17" i="17"/>
  <c r="E17" i="17" s="1"/>
  <c r="W17" i="17" s="1"/>
  <c r="H17" i="17"/>
  <c r="C20" i="17"/>
  <c r="E20" i="17" s="1"/>
  <c r="W20" i="17" s="1"/>
  <c r="H16" i="17"/>
  <c r="M15" i="17"/>
  <c r="O15" i="17" s="1"/>
  <c r="H20" i="17"/>
  <c r="C15" i="17"/>
  <c r="E15" i="17" s="1"/>
  <c r="W15" i="17" s="1"/>
  <c r="H15" i="17"/>
  <c r="C34" i="19"/>
  <c r="C41" i="19"/>
  <c r="C40" i="19"/>
  <c r="H37" i="17" l="1"/>
  <c r="N37" i="17"/>
  <c r="P37" i="17" s="1"/>
  <c r="Q37" i="17" s="1"/>
  <c r="U37" i="17" s="1"/>
  <c r="V37" i="17" s="1"/>
  <c r="X37" i="17" s="1"/>
  <c r="C37" i="17"/>
  <c r="E37" i="17" s="1"/>
  <c r="W37" i="17" s="1"/>
  <c r="H29" i="17"/>
  <c r="H34" i="17"/>
  <c r="A17" i="17"/>
  <c r="S23" i="17"/>
  <c r="S24" i="17"/>
  <c r="P36" i="17"/>
  <c r="Q36" i="17" s="1"/>
  <c r="U36" i="17" s="1"/>
  <c r="V36" i="17" s="1"/>
  <c r="X36" i="17" s="1"/>
  <c r="P31" i="17"/>
  <c r="Q31" i="17" s="1"/>
  <c r="U31" i="17" s="1"/>
  <c r="V31" i="17" s="1"/>
  <c r="X31" i="17" s="1"/>
  <c r="P35" i="17"/>
  <c r="Q35" i="17" s="1"/>
  <c r="U35" i="17" s="1"/>
  <c r="V35" i="17" s="1"/>
  <c r="X35" i="17" s="1"/>
  <c r="P20" i="17"/>
  <c r="Q20" i="17" s="1"/>
  <c r="U20" i="17" s="1"/>
  <c r="V20" i="17" s="1"/>
  <c r="X20" i="17" s="1"/>
  <c r="P15" i="17"/>
  <c r="Q15" i="17" s="1"/>
  <c r="U15" i="17" s="1"/>
  <c r="V15" i="17" s="1"/>
  <c r="X15" i="17" s="1"/>
  <c r="P17" i="17"/>
  <c r="Q17" i="17" s="1"/>
  <c r="U17" i="17" s="1"/>
  <c r="V17" i="17" s="1"/>
  <c r="X17" i="17" s="1"/>
  <c r="P16" i="17"/>
  <c r="Q16" i="17" s="1"/>
  <c r="U16" i="17" s="1"/>
  <c r="V16" i="17" s="1"/>
  <c r="P30" i="17"/>
  <c r="Q30" i="17" s="1"/>
  <c r="U30" i="17" s="1"/>
  <c r="V30" i="17" s="1"/>
  <c r="X30" i="17" s="1"/>
  <c r="P19" i="17"/>
  <c r="Q19" i="17" s="1"/>
  <c r="U19" i="17" s="1"/>
  <c r="V19" i="17" s="1"/>
  <c r="X19" i="17" s="1"/>
  <c r="N27" i="17"/>
  <c r="T27" i="17"/>
  <c r="Y27" i="17" s="1"/>
  <c r="N24" i="17"/>
  <c r="T24" i="17"/>
  <c r="Y24" i="17" s="1"/>
  <c r="N28" i="17"/>
  <c r="T28" i="17"/>
  <c r="Y28" i="17" s="1"/>
  <c r="N25" i="17"/>
  <c r="T25" i="17"/>
  <c r="Y25" i="17" s="1"/>
  <c r="A30" i="17"/>
  <c r="P40" i="17"/>
  <c r="Q40" i="17" s="1"/>
  <c r="U40" i="17" s="1"/>
  <c r="V40" i="17" s="1"/>
  <c r="X40" i="17" s="1"/>
  <c r="P38" i="17"/>
  <c r="Q38" i="17" s="1"/>
  <c r="U38" i="17" s="1"/>
  <c r="V38" i="17" s="1"/>
  <c r="X38" i="17" s="1"/>
  <c r="C23" i="17"/>
  <c r="E23" i="17" s="1"/>
  <c r="W23" i="17" s="1"/>
  <c r="N23" i="17"/>
  <c r="P33" i="17"/>
  <c r="Q33" i="17" s="1"/>
  <c r="U33" i="17" s="1"/>
  <c r="V33" i="17" s="1"/>
  <c r="X33" i="17" s="1"/>
  <c r="C21" i="17"/>
  <c r="E21" i="17" s="1"/>
  <c r="W21" i="17" s="1"/>
  <c r="N21" i="17"/>
  <c r="P32" i="17"/>
  <c r="Q32" i="17" s="1"/>
  <c r="U32" i="17" s="1"/>
  <c r="V32" i="17" s="1"/>
  <c r="X32" i="17" s="1"/>
  <c r="P41" i="17"/>
  <c r="Q41" i="17" s="1"/>
  <c r="U41" i="17" s="1"/>
  <c r="V41" i="17" s="1"/>
  <c r="X41" i="17" s="1"/>
  <c r="C26" i="17"/>
  <c r="E26" i="17" s="1"/>
  <c r="W26" i="17" s="1"/>
  <c r="N26" i="17"/>
  <c r="C27" i="17"/>
  <c r="E27" i="17" s="1"/>
  <c r="W27" i="17" s="1"/>
  <c r="C22" i="17"/>
  <c r="E22" i="17" s="1"/>
  <c r="W22" i="17" s="1"/>
  <c r="N22" i="17"/>
  <c r="P39" i="17"/>
  <c r="Q39" i="17" s="1"/>
  <c r="U39" i="17" s="1"/>
  <c r="V39" i="17" s="1"/>
  <c r="X39" i="17" s="1"/>
  <c r="P18" i="17"/>
  <c r="Q18" i="17" s="1"/>
  <c r="U18" i="17" s="1"/>
  <c r="V18" i="17" s="1"/>
  <c r="X18" i="17" s="1"/>
  <c r="S22" i="17"/>
  <c r="M22" i="17"/>
  <c r="O22" i="17" s="1"/>
  <c r="O29" i="17"/>
  <c r="P29" i="17" s="1"/>
  <c r="Q29" i="17" s="1"/>
  <c r="U29" i="17" s="1"/>
  <c r="V29" i="17" s="1"/>
  <c r="X29" i="17" s="1"/>
  <c r="P34" i="17"/>
  <c r="Q34" i="17" s="1"/>
  <c r="M26" i="17"/>
  <c r="O26" i="17" s="1"/>
  <c r="H23" i="17"/>
  <c r="M28" i="17"/>
  <c r="O28" i="17" s="1"/>
  <c r="M21" i="17"/>
  <c r="O21" i="17" s="1"/>
  <c r="Y26" i="17"/>
  <c r="H22" i="17"/>
  <c r="M24" i="17"/>
  <c r="O24" i="17" s="1"/>
  <c r="Y21" i="17"/>
  <c r="C24" i="17"/>
  <c r="E24" i="17" s="1"/>
  <c r="W24" i="17" s="1"/>
  <c r="M27" i="17"/>
  <c r="O27" i="17" s="1"/>
  <c r="H26" i="17"/>
  <c r="H27" i="17"/>
  <c r="M25" i="17"/>
  <c r="O25" i="17" s="1"/>
  <c r="M23" i="17"/>
  <c r="O23" i="17" s="1"/>
  <c r="H24" i="17"/>
  <c r="H21" i="17"/>
  <c r="C25" i="17"/>
  <c r="E25" i="17" s="1"/>
  <c r="W25" i="17" s="1"/>
  <c r="H25" i="17"/>
  <c r="C28" i="17"/>
  <c r="E28" i="17" s="1"/>
  <c r="W28" i="17" s="1"/>
  <c r="H28" i="17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O132" i="16"/>
  <c r="N132" i="16"/>
  <c r="M132" i="16"/>
  <c r="L132" i="16"/>
  <c r="O131" i="16"/>
  <c r="N131" i="16"/>
  <c r="M131" i="16"/>
  <c r="L131" i="16"/>
  <c r="O130" i="16"/>
  <c r="N130" i="16"/>
  <c r="M130" i="16"/>
  <c r="L130" i="16"/>
  <c r="O129" i="16"/>
  <c r="N129" i="16"/>
  <c r="M129" i="16"/>
  <c r="L129" i="16"/>
  <c r="O128" i="16"/>
  <c r="N128" i="16"/>
  <c r="M128" i="16"/>
  <c r="L128" i="16"/>
  <c r="O127" i="16"/>
  <c r="N127" i="16"/>
  <c r="M127" i="16"/>
  <c r="L127" i="16"/>
  <c r="O126" i="16"/>
  <c r="N126" i="16"/>
  <c r="M126" i="16"/>
  <c r="L126" i="16"/>
  <c r="O125" i="16"/>
  <c r="N125" i="16"/>
  <c r="M125" i="16"/>
  <c r="L125" i="16"/>
  <c r="O124" i="16"/>
  <c r="N124" i="16"/>
  <c r="M124" i="16"/>
  <c r="L124" i="16"/>
  <c r="O123" i="16"/>
  <c r="N123" i="16"/>
  <c r="M123" i="16"/>
  <c r="L123" i="16"/>
  <c r="O122" i="16"/>
  <c r="N122" i="16"/>
  <c r="M122" i="16"/>
  <c r="L122" i="16"/>
  <c r="O121" i="16"/>
  <c r="N121" i="16"/>
  <c r="M121" i="16"/>
  <c r="L121" i="16"/>
  <c r="O120" i="16"/>
  <c r="N120" i="16"/>
  <c r="M120" i="16"/>
  <c r="L120" i="16"/>
  <c r="O119" i="16"/>
  <c r="N119" i="16"/>
  <c r="M119" i="16"/>
  <c r="L119" i="16"/>
  <c r="O118" i="16"/>
  <c r="N118" i="16"/>
  <c r="M118" i="16"/>
  <c r="L118" i="16"/>
  <c r="O117" i="16"/>
  <c r="N117" i="16"/>
  <c r="M117" i="16"/>
  <c r="L117" i="16"/>
  <c r="O116" i="16"/>
  <c r="N116" i="16"/>
  <c r="M116" i="16"/>
  <c r="L116" i="16"/>
  <c r="A18" i="17" l="1"/>
  <c r="P24" i="17"/>
  <c r="Q24" i="17" s="1"/>
  <c r="U24" i="17" s="1"/>
  <c r="V24" i="17" s="1"/>
  <c r="X24" i="17" s="1"/>
  <c r="P28" i="17"/>
  <c r="Q28" i="17" s="1"/>
  <c r="U28" i="17" s="1"/>
  <c r="V28" i="17" s="1"/>
  <c r="X28" i="17" s="1"/>
  <c r="P25" i="17"/>
  <c r="Q25" i="17" s="1"/>
  <c r="U25" i="17" s="1"/>
  <c r="V25" i="17" s="1"/>
  <c r="X25" i="17" s="1"/>
  <c r="P27" i="17"/>
  <c r="Q27" i="17" s="1"/>
  <c r="U27" i="17" s="1"/>
  <c r="V27" i="17" s="1"/>
  <c r="X27" i="17" s="1"/>
  <c r="P22" i="17"/>
  <c r="Q22" i="17" s="1"/>
  <c r="U22" i="17" s="1"/>
  <c r="V22" i="17" s="1"/>
  <c r="X22" i="17" s="1"/>
  <c r="P21" i="17"/>
  <c r="Q21" i="17" s="1"/>
  <c r="U21" i="17" s="1"/>
  <c r="V21" i="17" s="1"/>
  <c r="X21" i="17" s="1"/>
  <c r="P26" i="17"/>
  <c r="Q26" i="17" s="1"/>
  <c r="U26" i="17" s="1"/>
  <c r="V26" i="17" s="1"/>
  <c r="X26" i="17" s="1"/>
  <c r="U34" i="17"/>
  <c r="V34" i="17" s="1"/>
  <c r="X34" i="17" s="1"/>
  <c r="P23" i="17"/>
  <c r="Q23" i="17" s="1"/>
  <c r="U23" i="17" s="1"/>
  <c r="X16" i="17"/>
  <c r="G14" i="16"/>
  <c r="G4" i="16"/>
  <c r="G5" i="16"/>
  <c r="G6" i="16"/>
  <c r="G7" i="16"/>
  <c r="G8" i="16"/>
  <c r="G9" i="16"/>
  <c r="G10" i="16"/>
  <c r="G11" i="16"/>
  <c r="G12" i="16"/>
  <c r="G13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3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AF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AF65" i="16"/>
  <c r="AE65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AF64" i="16"/>
  <c r="AE64" i="16"/>
  <c r="AD64" i="16"/>
  <c r="AC64" i="16"/>
  <c r="AB64" i="16"/>
  <c r="AA64" i="16"/>
  <c r="Z64" i="16"/>
  <c r="Y64" i="16"/>
  <c r="X64" i="16"/>
  <c r="W64" i="16"/>
  <c r="V64" i="16"/>
  <c r="U64" i="16"/>
  <c r="T64" i="16"/>
  <c r="S64" i="16"/>
  <c r="R64" i="16"/>
  <c r="Q64" i="16"/>
  <c r="AF63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AR6" i="16"/>
  <c r="AQ6" i="16"/>
  <c r="AP6" i="16"/>
  <c r="AO6" i="16"/>
  <c r="AN6" i="16"/>
  <c r="AM6" i="16"/>
  <c r="AL6" i="16"/>
  <c r="AK6" i="16"/>
  <c r="AJ6" i="16"/>
  <c r="AI6" i="16"/>
  <c r="AH6" i="16"/>
  <c r="AG6" i="16"/>
  <c r="AF6" i="16"/>
  <c r="AE6" i="16"/>
  <c r="AD6" i="16"/>
  <c r="AC6" i="16"/>
  <c r="AB6" i="16"/>
  <c r="AA6" i="16"/>
  <c r="Z6" i="16"/>
  <c r="Y6" i="16"/>
  <c r="X6" i="16"/>
  <c r="W6" i="16"/>
  <c r="V6" i="16"/>
  <c r="U6" i="16"/>
  <c r="T6" i="16"/>
  <c r="S6" i="16"/>
  <c r="R6" i="16"/>
  <c r="Q6" i="16"/>
  <c r="AR5" i="16"/>
  <c r="AQ5" i="16"/>
  <c r="AP5" i="16"/>
  <c r="AO5" i="16"/>
  <c r="AN5" i="16"/>
  <c r="AM5" i="16"/>
  <c r="AL5" i="16"/>
  <c r="AK5" i="16"/>
  <c r="AJ5" i="16"/>
  <c r="AI5" i="16"/>
  <c r="AH5" i="16"/>
  <c r="AG5" i="16"/>
  <c r="AF5" i="16"/>
  <c r="AE5" i="16"/>
  <c r="AD5" i="16"/>
  <c r="AC5" i="16"/>
  <c r="AB5" i="16"/>
  <c r="AA5" i="16"/>
  <c r="Z5" i="16"/>
  <c r="Y5" i="16"/>
  <c r="X5" i="16"/>
  <c r="W5" i="16"/>
  <c r="V5" i="16"/>
  <c r="U5" i="16"/>
  <c r="T5" i="16"/>
  <c r="S5" i="16"/>
  <c r="R5" i="16"/>
  <c r="Q5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AR3" i="16"/>
  <c r="AQ3" i="16"/>
  <c r="AP3" i="16"/>
  <c r="AO3" i="16"/>
  <c r="AN3" i="16"/>
  <c r="AM3" i="16"/>
  <c r="AL3" i="16"/>
  <c r="AK3" i="16"/>
  <c r="AJ3" i="16"/>
  <c r="AI3" i="16"/>
  <c r="AH3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K3" i="16"/>
  <c r="N30" i="16"/>
  <c r="M30" i="16"/>
  <c r="L30" i="16"/>
  <c r="K30" i="16"/>
  <c r="N29" i="16"/>
  <c r="M29" i="16"/>
  <c r="L29" i="16"/>
  <c r="K29" i="16"/>
  <c r="N28" i="16"/>
  <c r="M28" i="16"/>
  <c r="L28" i="16"/>
  <c r="K28" i="16"/>
  <c r="N27" i="16"/>
  <c r="M27" i="16"/>
  <c r="L27" i="16"/>
  <c r="K27" i="16"/>
  <c r="N26" i="16"/>
  <c r="M26" i="16"/>
  <c r="L26" i="16"/>
  <c r="K26" i="16"/>
  <c r="N25" i="16"/>
  <c r="M25" i="16"/>
  <c r="L25" i="16"/>
  <c r="K25" i="16"/>
  <c r="N24" i="16"/>
  <c r="M24" i="16"/>
  <c r="L24" i="16"/>
  <c r="K24" i="16"/>
  <c r="N23" i="16"/>
  <c r="M23" i="16"/>
  <c r="L23" i="16"/>
  <c r="K23" i="16"/>
  <c r="N22" i="16"/>
  <c r="M22" i="16"/>
  <c r="L22" i="16"/>
  <c r="K22" i="16"/>
  <c r="N21" i="16"/>
  <c r="M21" i="16"/>
  <c r="L21" i="16"/>
  <c r="K21" i="16"/>
  <c r="N20" i="16"/>
  <c r="M20" i="16"/>
  <c r="L20" i="16"/>
  <c r="K20" i="16"/>
  <c r="N19" i="16"/>
  <c r="M19" i="16"/>
  <c r="L19" i="16"/>
  <c r="K19" i="16"/>
  <c r="N18" i="16"/>
  <c r="M18" i="16"/>
  <c r="L18" i="16"/>
  <c r="K18" i="16"/>
  <c r="N17" i="16"/>
  <c r="M17" i="16"/>
  <c r="L17" i="16"/>
  <c r="K17" i="16"/>
  <c r="N16" i="16"/>
  <c r="M16" i="16"/>
  <c r="L16" i="16"/>
  <c r="K16" i="16"/>
  <c r="N15" i="16"/>
  <c r="M15" i="16"/>
  <c r="L15" i="16"/>
  <c r="K15" i="16"/>
  <c r="N14" i="16"/>
  <c r="M14" i="16"/>
  <c r="L14" i="16"/>
  <c r="K14" i="16"/>
  <c r="N13" i="16"/>
  <c r="M13" i="16"/>
  <c r="L13" i="16"/>
  <c r="K13" i="16"/>
  <c r="N12" i="16"/>
  <c r="M12" i="16"/>
  <c r="L12" i="16"/>
  <c r="K12" i="16"/>
  <c r="N11" i="16"/>
  <c r="M11" i="16"/>
  <c r="L11" i="16"/>
  <c r="K11" i="16"/>
  <c r="N10" i="16"/>
  <c r="M10" i="16"/>
  <c r="L10" i="16"/>
  <c r="K10" i="16"/>
  <c r="N9" i="16"/>
  <c r="M9" i="16"/>
  <c r="L9" i="16"/>
  <c r="K9" i="16"/>
  <c r="N8" i="16"/>
  <c r="M8" i="16"/>
  <c r="L8" i="16"/>
  <c r="K8" i="16"/>
  <c r="N7" i="16"/>
  <c r="M7" i="16"/>
  <c r="L7" i="16"/>
  <c r="K7" i="16"/>
  <c r="N6" i="16"/>
  <c r="M6" i="16"/>
  <c r="L6" i="16"/>
  <c r="K6" i="16"/>
  <c r="N5" i="16"/>
  <c r="M5" i="16"/>
  <c r="L5" i="16"/>
  <c r="K5" i="16"/>
  <c r="N4" i="16"/>
  <c r="M4" i="16"/>
  <c r="L4" i="16"/>
  <c r="K4" i="16"/>
  <c r="N3" i="16"/>
  <c r="M3" i="16"/>
  <c r="L3" i="16"/>
  <c r="H3" i="6"/>
  <c r="A19" i="17" l="1"/>
  <c r="V23" i="17"/>
  <c r="I8" i="17"/>
  <c r="A20" i="17" l="1"/>
  <c r="X23" i="17"/>
  <c r="A21" i="17" l="1"/>
  <c r="A22" i="17" l="1"/>
  <c r="A23" i="17" l="1"/>
  <c r="A24" i="17" s="1"/>
  <c r="A25" i="17" l="1"/>
  <c r="D7" i="6"/>
  <c r="E7" i="6" s="1"/>
  <c r="D12" i="6"/>
  <c r="E12" i="6" s="1"/>
  <c r="D11" i="6"/>
  <c r="E11" i="6" s="1"/>
  <c r="D10" i="6"/>
  <c r="E10" i="6" s="1"/>
  <c r="D9" i="6"/>
  <c r="E9" i="6" s="1"/>
  <c r="D13" i="6"/>
  <c r="E13" i="6" s="1"/>
  <c r="A26" i="17" l="1"/>
  <c r="F9" i="6"/>
  <c r="C9" i="6"/>
  <c r="G9" i="6"/>
  <c r="G10" i="6"/>
  <c r="F10" i="6"/>
  <c r="C10" i="6"/>
  <c r="C11" i="6"/>
  <c r="F11" i="6"/>
  <c r="G11" i="6"/>
  <c r="F12" i="6"/>
  <c r="C12" i="6"/>
  <c r="G12" i="6"/>
  <c r="F7" i="6"/>
  <c r="G7" i="6"/>
  <c r="C7" i="6"/>
  <c r="F13" i="6"/>
  <c r="G13" i="6"/>
  <c r="C13" i="6"/>
  <c r="H7" i="6" l="1"/>
  <c r="H9" i="6"/>
  <c r="H12" i="6"/>
  <c r="A27" i="17"/>
  <c r="A28" i="17" s="1"/>
  <c r="A29" i="17" s="1"/>
  <c r="H10" i="6"/>
  <c r="H11" i="6"/>
  <c r="H13" i="6"/>
  <c r="D8" i="6" l="1"/>
  <c r="E8" i="6" s="1"/>
  <c r="A31" i="17"/>
  <c r="C8" i="6" l="1"/>
  <c r="F8" i="6"/>
  <c r="G8" i="6"/>
  <c r="A32" i="17"/>
  <c r="A33" i="17" s="1"/>
  <c r="A34" i="17" s="1"/>
  <c r="A35" i="17" s="1"/>
  <c r="A36" i="17" s="1"/>
  <c r="A37" i="17" s="1"/>
  <c r="D15" i="6" s="1"/>
  <c r="D14" i="6" l="1"/>
  <c r="E15" i="6"/>
  <c r="F15" i="6"/>
  <c r="G15" i="6"/>
  <c r="C15" i="6"/>
  <c r="H15" i="6"/>
  <c r="D21" i="6"/>
  <c r="E21" i="6" s="1"/>
  <c r="D20" i="6"/>
  <c r="D18" i="6"/>
  <c r="D17" i="6"/>
  <c r="D16" i="6"/>
  <c r="D19" i="6"/>
  <c r="D31" i="6"/>
  <c r="G31" i="6" s="1"/>
  <c r="D25" i="6"/>
  <c r="F25" i="6" s="1"/>
  <c r="D24" i="6"/>
  <c r="E24" i="6" s="1"/>
  <c r="D30" i="6"/>
  <c r="H30" i="6" s="1"/>
  <c r="D22" i="6"/>
  <c r="E22" i="6" s="1"/>
  <c r="H8" i="6"/>
  <c r="C21" i="6"/>
  <c r="G21" i="6"/>
  <c r="F21" i="6"/>
  <c r="D28" i="6"/>
  <c r="E28" i="6" s="1"/>
  <c r="G24" i="6"/>
  <c r="C24" i="6"/>
  <c r="F24" i="6"/>
  <c r="C31" i="6"/>
  <c r="D29" i="6"/>
  <c r="E29" i="6" s="1"/>
  <c r="D23" i="6"/>
  <c r="E23" i="6" s="1"/>
  <c r="D26" i="6"/>
  <c r="E26" i="6" s="1"/>
  <c r="D27" i="6"/>
  <c r="E27" i="6" s="1"/>
  <c r="G22" i="6" l="1"/>
  <c r="H14" i="6"/>
  <c r="E14" i="6"/>
  <c r="C14" i="6"/>
  <c r="G14" i="6"/>
  <c r="F14" i="6"/>
  <c r="E18" i="6"/>
  <c r="G18" i="6"/>
  <c r="C18" i="6"/>
  <c r="F18" i="6"/>
  <c r="E16" i="6"/>
  <c r="F16" i="6"/>
  <c r="C16" i="6"/>
  <c r="G16" i="6"/>
  <c r="H16" i="6"/>
  <c r="E20" i="6"/>
  <c r="C20" i="6"/>
  <c r="F20" i="6"/>
  <c r="G20" i="6"/>
  <c r="F31" i="6"/>
  <c r="E17" i="6"/>
  <c r="G17" i="6"/>
  <c r="F17" i="6"/>
  <c r="C17" i="6"/>
  <c r="H17" i="6"/>
  <c r="H31" i="6"/>
  <c r="H18" i="6"/>
  <c r="E19" i="6"/>
  <c r="C19" i="6"/>
  <c r="F19" i="6"/>
  <c r="G19" i="6"/>
  <c r="H19" i="6"/>
  <c r="E31" i="6"/>
  <c r="H21" i="6"/>
  <c r="G25" i="6"/>
  <c r="E25" i="6"/>
  <c r="F22" i="6"/>
  <c r="C22" i="6"/>
  <c r="H22" i="6" s="1"/>
  <c r="C30" i="6"/>
  <c r="E30" i="6"/>
  <c r="F30" i="6"/>
  <c r="C25" i="6"/>
  <c r="H25" i="6" s="1"/>
  <c r="G30" i="6"/>
  <c r="H24" i="6"/>
  <c r="C29" i="6"/>
  <c r="F29" i="6"/>
  <c r="G29" i="6"/>
  <c r="H29" i="6"/>
  <c r="C26" i="6"/>
  <c r="F26" i="6"/>
  <c r="G26" i="6"/>
  <c r="H26" i="6" s="1"/>
  <c r="G23" i="6"/>
  <c r="F23" i="6"/>
  <c r="C23" i="6"/>
  <c r="C28" i="6"/>
  <c r="G28" i="6"/>
  <c r="F28" i="6"/>
  <c r="H28" i="6"/>
  <c r="F27" i="6"/>
  <c r="G27" i="6"/>
  <c r="C27" i="6"/>
  <c r="H20" i="6" l="1"/>
  <c r="H27" i="6"/>
  <c r="H23" i="6"/>
  <c r="H34" i="6"/>
  <c r="H32" i="6" l="1"/>
  <c r="H35" i="6" s="1"/>
  <c r="H33" i="6"/>
</calcChain>
</file>

<file path=xl/sharedStrings.xml><?xml version="1.0" encoding="utf-8"?>
<sst xmlns="http://schemas.openxmlformats.org/spreadsheetml/2006/main" count="600" uniqueCount="263">
  <si>
    <t>Total</t>
  </si>
  <si>
    <t>Set-up</t>
  </si>
  <si>
    <t>RIP SIZE FACTOR CHART</t>
  </si>
  <si>
    <t>RIP SIZE</t>
  </si>
  <si>
    <t>4/4</t>
  </si>
  <si>
    <t>5/4</t>
  </si>
  <si>
    <t>6/4</t>
  </si>
  <si>
    <t>8/4</t>
  </si>
  <si>
    <t>Description</t>
  </si>
  <si>
    <t>Width</t>
  </si>
  <si>
    <t>Thickness</t>
  </si>
  <si>
    <t>Lin.Ft.</t>
  </si>
  <si>
    <t>Factor</t>
  </si>
  <si>
    <t>BF</t>
  </si>
  <si>
    <t>cost/L.F.</t>
  </si>
  <si>
    <t>Species</t>
  </si>
  <si>
    <t>Logo placeholder is in this cell.</t>
  </si>
  <si>
    <t>Job:</t>
  </si>
  <si>
    <t>Customer:</t>
  </si>
  <si>
    <t>Job</t>
  </si>
  <si>
    <t>Line Total</t>
  </si>
  <si>
    <t>Sales Tax</t>
  </si>
  <si>
    <t>Estimate</t>
  </si>
  <si>
    <t>Qty LF</t>
  </si>
  <si>
    <t>Cost/BF</t>
  </si>
  <si>
    <t>`</t>
  </si>
  <si>
    <t>Material Mark Up</t>
  </si>
  <si>
    <t>Total Cost</t>
  </si>
  <si>
    <t>Knife Grind</t>
  </si>
  <si>
    <t>Sell/LF Margin</t>
  </si>
  <si>
    <t>Rip Factor Increase</t>
  </si>
  <si>
    <t>Set Up Fee</t>
  </si>
  <si>
    <t>Lin Ft Add</t>
  </si>
  <si>
    <t>Knife Cost/ IN</t>
  </si>
  <si>
    <t>Customer</t>
  </si>
  <si>
    <t>LF Finish Add</t>
  </si>
  <si>
    <t>LF Add</t>
  </si>
  <si>
    <t>Rough Thick</t>
  </si>
  <si>
    <t>Finish</t>
  </si>
  <si>
    <t>Rough</t>
  </si>
  <si>
    <t>CHECK</t>
  </si>
  <si>
    <t>Rate</t>
  </si>
  <si>
    <t>Primed Small</t>
  </si>
  <si>
    <t>Primed Avg</t>
  </si>
  <si>
    <t>Primed Large</t>
  </si>
  <si>
    <t>Stained Small</t>
  </si>
  <si>
    <t>Stained Avg</t>
  </si>
  <si>
    <t>Stained Large</t>
  </si>
  <si>
    <t>Set Up</t>
  </si>
  <si>
    <t>Set Up Total</t>
  </si>
  <si>
    <t>Total Raw</t>
  </si>
  <si>
    <t>Type</t>
  </si>
  <si>
    <t>Base</t>
  </si>
  <si>
    <t>Case</t>
  </si>
  <si>
    <t>Header</t>
  </si>
  <si>
    <t>Int Jamb</t>
  </si>
  <si>
    <t>Ext Jamb</t>
  </si>
  <si>
    <t>Sill</t>
  </si>
  <si>
    <t>Apron</t>
  </si>
  <si>
    <t>Help</t>
  </si>
  <si>
    <t>Primed</t>
  </si>
  <si>
    <t>Stained</t>
  </si>
  <si>
    <t>primed small</t>
  </si>
  <si>
    <t>EXT WALL</t>
  </si>
  <si>
    <t>INT WALL</t>
  </si>
  <si>
    <t>EXT DOORS</t>
  </si>
  <si>
    <t>INT DOORS</t>
  </si>
  <si>
    <t>POCKET DOOR</t>
  </si>
  <si>
    <t>SLIDERS</t>
  </si>
  <si>
    <t>WINDOWS</t>
  </si>
  <si>
    <t>BASE</t>
  </si>
  <si>
    <t>CASE</t>
  </si>
  <si>
    <t>HEADER</t>
  </si>
  <si>
    <t>INT JAMB</t>
  </si>
  <si>
    <t>WINDOW JAMB</t>
  </si>
  <si>
    <t>SILL</t>
  </si>
  <si>
    <t>APRON</t>
  </si>
  <si>
    <t>DENTIL</t>
  </si>
  <si>
    <t>CRAFTSMAN</t>
  </si>
  <si>
    <t>DESCRIPTION</t>
  </si>
  <si>
    <t>STANDARD WIDTH</t>
  </si>
  <si>
    <t>STANDARD THICKNESS</t>
  </si>
  <si>
    <t>MITERED</t>
  </si>
  <si>
    <t>STYLE</t>
  </si>
  <si>
    <t>PART</t>
  </si>
  <si>
    <t>ECONOMY WIDTH</t>
  </si>
  <si>
    <t>ECONOMY THICKNESS</t>
  </si>
  <si>
    <t>UPGRADE WIDTH</t>
  </si>
  <si>
    <t>UPGRADED THICKNESS</t>
  </si>
  <si>
    <t>LF</t>
  </si>
  <si>
    <t>ITEM</t>
  </si>
  <si>
    <t>DOOR HEIGHT</t>
  </si>
  <si>
    <t>YN</t>
  </si>
  <si>
    <t>YES</t>
  </si>
  <si>
    <t>NO</t>
  </si>
  <si>
    <t>BARN DOOR/WRAPPED OPENING</t>
  </si>
  <si>
    <t>FINISH SIZE</t>
  </si>
  <si>
    <t>FINISH LEVEL</t>
  </si>
  <si>
    <t>STANDARD</t>
  </si>
  <si>
    <t>ECONOMY</t>
  </si>
  <si>
    <t>UPGRADED</t>
  </si>
  <si>
    <t>CUSTOM WIDTH</t>
  </si>
  <si>
    <t>CUSTOM THICKNESS</t>
  </si>
  <si>
    <t>CUSTOM</t>
  </si>
  <si>
    <t>ACTUAL WIDTH</t>
  </si>
  <si>
    <t>ACTUAL THICKNESS</t>
  </si>
  <si>
    <t>NAME TYPE</t>
  </si>
  <si>
    <t>CRAFTSMAN PLUS</t>
  </si>
  <si>
    <t>Finish Size</t>
  </si>
  <si>
    <t>FINISH HELP</t>
  </si>
  <si>
    <t>PROFILE</t>
  </si>
  <si>
    <t>E2E</t>
  </si>
  <si>
    <t>BOOK</t>
  </si>
  <si>
    <t>GREENE</t>
  </si>
  <si>
    <t>BAR 17</t>
  </si>
  <si>
    <t>Line Number</t>
  </si>
  <si>
    <t>line number</t>
  </si>
  <si>
    <t>Date:</t>
  </si>
  <si>
    <t>**Sales Tax is included in the totals at the bottom and can be adjusted here**</t>
  </si>
  <si>
    <t>**Filter Description Column to remove blanks, or leave them when printing estimate it doesn't really matter**</t>
  </si>
  <si>
    <t>**Any cell can be replaced with a hard keyed value, but changes made to the rest of the sheet will not be reflected in those cells**</t>
  </si>
  <si>
    <t>**These numbers are used as an estimate only**</t>
  </si>
  <si>
    <t>**Before an order is placed the builder will need to place an order requesting a specific number of sticks in specific lengths**</t>
  </si>
  <si>
    <t>**Unit price and finish price are LF numbers**</t>
  </si>
  <si>
    <t>**The final order will use the LF pricing on the quantity requested from the builder**</t>
  </si>
  <si>
    <t>**Set up fee is separate and based on knife and profile complexity**</t>
  </si>
  <si>
    <t>VG Fir</t>
  </si>
  <si>
    <t>Maple</t>
  </si>
  <si>
    <t>Sapele Mahog.</t>
  </si>
  <si>
    <t>1/4  White Oak</t>
  </si>
  <si>
    <t>Walnut</t>
  </si>
  <si>
    <t>Knotty Pine</t>
  </si>
  <si>
    <t>Clear Pine</t>
  </si>
  <si>
    <t>Hemlock</t>
  </si>
  <si>
    <t>Poplar</t>
  </si>
  <si>
    <t>Cherry</t>
  </si>
  <si>
    <t>Birch / Natural</t>
  </si>
  <si>
    <t>Birch / White</t>
  </si>
  <si>
    <t>Hickory</t>
  </si>
  <si>
    <t>Ash</t>
  </si>
  <si>
    <t>Rift White Oak</t>
  </si>
  <si>
    <t>Wormy maple</t>
  </si>
  <si>
    <t>K Fir mixed tight</t>
  </si>
  <si>
    <t>Beech</t>
  </si>
  <si>
    <t>Knotty Alder</t>
  </si>
  <si>
    <t>Superior Alder</t>
  </si>
  <si>
    <t>PS White Oak</t>
  </si>
  <si>
    <t>Rift Red Oak</t>
  </si>
  <si>
    <t>PS Red Oak</t>
  </si>
  <si>
    <t>1 sorted</t>
  </si>
  <si>
    <t>1.25 sorted</t>
  </si>
  <si>
    <t>1.5 sorted</t>
  </si>
  <si>
    <t>2 sorted</t>
  </si>
  <si>
    <t>**10' UON**</t>
  </si>
  <si>
    <t>1</t>
  </si>
  <si>
    <t>1.25</t>
  </si>
  <si>
    <t>1.5</t>
  </si>
  <si>
    <t>2</t>
  </si>
  <si>
    <t>SPECIES 1</t>
  </si>
  <si>
    <t>SPECIES 2</t>
  </si>
  <si>
    <t>SPECIES 3</t>
  </si>
  <si>
    <t>MDF</t>
  </si>
  <si>
    <t>DRYWALL INT JAMBS</t>
  </si>
  <si>
    <t>FULL DRYWALL WRAP WINDOWS SLIDERS</t>
  </si>
  <si>
    <t>Total lf of exterior wall (to receive base trim)</t>
  </si>
  <si>
    <t>Total lf of interior walls (to receive base trim)</t>
  </si>
  <si>
    <t>Total EXT Doors, double doors count as 2</t>
  </si>
  <si>
    <t>Total Sliders, extra large count as 2</t>
  </si>
  <si>
    <t>Total pocket, bi fold, or bi pass doors</t>
  </si>
  <si>
    <t>Total barn doors or wrapped openings</t>
  </si>
  <si>
    <t>Total windows</t>
  </si>
  <si>
    <t>Total interior swing doors</t>
  </si>
  <si>
    <t>Start by filling out the Job and Customer names, then fill in the information in the Take Off Table</t>
  </si>
  <si>
    <t>TAKE OFF</t>
  </si>
  <si>
    <t>Door height, if door height changes either do 2 take offs, or adjust counts proportionally</t>
  </si>
  <si>
    <t xml:space="preserve">     (an 80" is 84% of a 96" door, 84" door is 88% of a 96" door)</t>
  </si>
  <si>
    <t>Style will change the LF outputs based on assumtions</t>
  </si>
  <si>
    <t>Profile is trim profile, changes knife cost and set up fees</t>
  </si>
  <si>
    <t>Drywall int jambs refers to places like barn doors, pocket doors, and wrapped openings</t>
  </si>
  <si>
    <t>Drwall wraped windows refers to the jambs on windows and sliding doors</t>
  </si>
  <si>
    <t>Up to 3 species can be selected to show on the final estimate</t>
  </si>
  <si>
    <t>Finish size will change the default sized of each piece of trim but can be overriden</t>
  </si>
  <si>
    <t xml:space="preserve">     (See the chart on price data tab to see list of sizes)</t>
  </si>
  <si>
    <t>To override a default width select from the drop down on width</t>
  </si>
  <si>
    <t>To override a default on thickness enter any number between .5 and 2</t>
  </si>
  <si>
    <t>Everything else in the lower table works from info provided in the take off table</t>
  </si>
  <si>
    <t>LF Price</t>
  </si>
  <si>
    <t>Finish LF Price</t>
  </si>
  <si>
    <t>**Double check unit price, if we don't have pricing data in the price data table it will not be correct**</t>
  </si>
  <si>
    <t>This increases the BF required to get the LF of trim requested</t>
  </si>
  <si>
    <t>Our mark up on the BF ordered</t>
  </si>
  <si>
    <t>Set up fee determined by profile in take off table, can be manually overriden here</t>
  </si>
  <si>
    <t>Standard LF add for running, we can add a table that takes into account total feet or complexity to adjust this automatically</t>
  </si>
  <si>
    <t>Cost included to cut a knife if custom profile</t>
  </si>
  <si>
    <t>Additional margin that can be added to the entire project</t>
  </si>
  <si>
    <t>You shouldn't need to do anything in the table below, but if you NEED to you can hard key any value in to replace the formulas</t>
  </si>
  <si>
    <t>**Finish price is driven by size of trim, and primed vs stained,FINAL PRICING PENDING ACTUAL DATA**</t>
  </si>
  <si>
    <t>Height</t>
  </si>
  <si>
    <t>LH</t>
  </si>
  <si>
    <t>RH</t>
  </si>
  <si>
    <t>Swing</t>
  </si>
  <si>
    <t>Bi-Pass</t>
  </si>
  <si>
    <t>Bi-Fold</t>
  </si>
  <si>
    <t>Pocket</t>
  </si>
  <si>
    <t>Barn</t>
  </si>
  <si>
    <t>80"</t>
  </si>
  <si>
    <t>96"</t>
  </si>
  <si>
    <t>84"</t>
  </si>
  <si>
    <t>Filter out door types and sizes not in use to make filling out the table easier</t>
  </si>
  <si>
    <t>Note each door height has its own table</t>
  </si>
  <si>
    <t>Enter the number of LH in swing or RH in swing according to plans</t>
  </si>
  <si>
    <t>Name</t>
  </si>
  <si>
    <t>total</t>
  </si>
  <si>
    <t>Size</t>
  </si>
  <si>
    <t>Width Name</t>
  </si>
  <si>
    <t>Height Name</t>
  </si>
  <si>
    <t>Door Name</t>
  </si>
  <si>
    <t>Moulded 4-9/16 fjp</t>
  </si>
  <si>
    <t>Melrose Berkley 4-9/16 FJP</t>
  </si>
  <si>
    <t>Logan * Lincoln 4-9/16 FJP</t>
  </si>
  <si>
    <t>Winslow 4-9/16 FJP</t>
  </si>
  <si>
    <t>Birch 4-9/16 FJP</t>
  </si>
  <si>
    <t>Oak 4-9/16 FJP</t>
  </si>
  <si>
    <t>PCHB 4-9/16 FJP</t>
  </si>
  <si>
    <t>1-6 6-8 1-3/8 HC</t>
  </si>
  <si>
    <t>1-8 6-8 1-3/8 HC</t>
  </si>
  <si>
    <t>1-10 6-8 1-3/8 HC</t>
  </si>
  <si>
    <t>2-0 6-8 1-3/8 HC</t>
  </si>
  <si>
    <t>2-2 6-8 1-3/8 HC</t>
  </si>
  <si>
    <t>2-4 6-8 1-3/8 HC</t>
  </si>
  <si>
    <t>2-6 6-8 1-3/8 HC</t>
  </si>
  <si>
    <t>2-8 6-8 1-3/8 HC</t>
  </si>
  <si>
    <t>2-10 6-8 1-3/8 HC</t>
  </si>
  <si>
    <t>3-0 6-8 1-3/8 HC</t>
  </si>
  <si>
    <t>1-6 6-8 1-3/8 SC</t>
  </si>
  <si>
    <t>2-0 6-8 1-3/8 SC</t>
  </si>
  <si>
    <t>2-4 6-8 1-3/8 SC</t>
  </si>
  <si>
    <t>2-6 6-8 1-3/8 SC</t>
  </si>
  <si>
    <t>2-8 6-8 1-3/8 SC</t>
  </si>
  <si>
    <t>3-0 6-8 1-3/8 SC</t>
  </si>
  <si>
    <t>2-6 6-8 1-3/4 20 Stmp</t>
  </si>
  <si>
    <t>2-8 6-8 1-3/4 20 Stmp</t>
  </si>
  <si>
    <t>3-0 6-8 1-3/4 20 Stmp</t>
  </si>
  <si>
    <t>2-0 8-0 1-3/8 HC</t>
  </si>
  <si>
    <t>2-4 8-0 1-3/8 HC</t>
  </si>
  <si>
    <t>2-6 8-0 1-3/8 HC</t>
  </si>
  <si>
    <t>2-8 8-0 1-3/8 HC</t>
  </si>
  <si>
    <t>3-0 8-0 1-3/8 HC</t>
  </si>
  <si>
    <t>2-0 8-0 1-3/8 SC</t>
  </si>
  <si>
    <t>2-4 8-0 1-3/8 SC</t>
  </si>
  <si>
    <t>2-6 8-0 1-3/8 SC</t>
  </si>
  <si>
    <t>2-8 8-0 1-3/8 SC</t>
  </si>
  <si>
    <t>3-0 8-0 1-3/8 SC</t>
  </si>
  <si>
    <t>2-8 8-0 1-3/4 20 Stmp</t>
  </si>
  <si>
    <t>3-0 8-0 1-3/4 20 Stmp</t>
  </si>
  <si>
    <t>SLAB ONLY DEDUCT 60 ON 6/8 AND 85 ON 8/0</t>
  </si>
  <si>
    <t>Door Price</t>
  </si>
  <si>
    <t>Qty</t>
  </si>
  <si>
    <t>Unit Price</t>
  </si>
  <si>
    <t>Unit Finish Price</t>
  </si>
  <si>
    <t>Finish Price</t>
  </si>
  <si>
    <t>We probably need to get a quote for each schedule/option that isn't on the standard price sheets, then plug them in by hand</t>
  </si>
  <si>
    <t>You can request a quote by coping and pasting the results in the door estimate tab then emailing Paul at Rugby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</si>
</sst>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"/>
    <numFmt numFmtId="165" formatCode=";;;"/>
    <numFmt numFmtId="166" formatCode="[$-409]mmmm\ d\,\ yyyy;@"/>
    <numFmt numFmtId="167" formatCode="#\ ?/#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b/>
      <sz val="43"/>
      <color theme="7" tint="-0.24994659260841701"/>
      <name val="Calibri Light"/>
      <family val="2"/>
      <scheme val="major"/>
    </font>
    <font>
      <b/>
      <sz val="14"/>
      <color theme="5"/>
      <name val="Calibri Light"/>
      <family val="2"/>
      <scheme val="major"/>
    </font>
    <font>
      <b/>
      <sz val="10"/>
      <color theme="5"/>
      <name val="Arial"/>
      <family val="2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8"/>
      <color theme="1" tint="0.14999847407452621"/>
      <name val="Calibri"/>
      <family val="2"/>
      <scheme val="minor"/>
    </font>
    <font>
      <b/>
      <sz val="10"/>
      <color theme="5"/>
      <name val="Calibri Light"/>
      <family val="2"/>
      <scheme val="major"/>
    </font>
    <font>
      <sz val="10"/>
      <color theme="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43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0"/>
      <name val="Arial"/>
      <family val="2"/>
    </font>
    <font>
      <i/>
      <sz val="11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ck">
        <color rgb="FFED7D3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5" fillId="0" borderId="0">
      <alignment horizontal="right" vertical="center"/>
    </xf>
    <xf numFmtId="0" fontId="6" fillId="0" borderId="0"/>
    <xf numFmtId="0" fontId="7" fillId="0" borderId="0">
      <alignment horizontal="right" vertical="top"/>
    </xf>
    <xf numFmtId="0" fontId="11" fillId="0" borderId="0">
      <alignment horizontal="left" vertical="center"/>
    </xf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0" fillId="3" borderId="7" xfId="0" applyFill="1" applyBorder="1"/>
    <xf numFmtId="12" fontId="0" fillId="3" borderId="8" xfId="0" quotePrefix="1" applyNumberFormat="1" applyFill="1" applyBorder="1" applyAlignment="1">
      <alignment horizontal="center"/>
    </xf>
    <xf numFmtId="12" fontId="0" fillId="3" borderId="9" xfId="0" quotePrefix="1" applyNumberFormat="1" applyFill="1" applyBorder="1" applyAlignment="1">
      <alignment horizontal="center"/>
    </xf>
    <xf numFmtId="0" fontId="0" fillId="3" borderId="10" xfId="0" applyFill="1" applyBorder="1"/>
    <xf numFmtId="12" fontId="0" fillId="3" borderId="11" xfId="0" quotePrefix="1" applyNumberFormat="1" applyFill="1" applyBorder="1" applyAlignment="1">
      <alignment horizontal="center"/>
    </xf>
    <xf numFmtId="12" fontId="0" fillId="3" borderId="12" xfId="0" quotePrefix="1" applyNumberFormat="1" applyFill="1" applyBorder="1" applyAlignment="1">
      <alignment horizontal="center"/>
    </xf>
    <xf numFmtId="164" fontId="0" fillId="2" borderId="2" xfId="0" applyNumberFormat="1" applyFill="1" applyBorder="1"/>
    <xf numFmtId="164" fontId="0" fillId="0" borderId="2" xfId="0" applyNumberFormat="1" applyBorder="1"/>
    <xf numFmtId="164" fontId="0" fillId="0" borderId="13" xfId="0" quotePrefix="1" applyNumberFormat="1" applyBorder="1" applyAlignment="1">
      <alignment horizontal="right"/>
    </xf>
    <xf numFmtId="164" fontId="0" fillId="0" borderId="14" xfId="0" quotePrefix="1" applyNumberFormat="1" applyBorder="1" applyAlignment="1">
      <alignment horizontal="right"/>
    </xf>
    <xf numFmtId="164" fontId="0" fillId="2" borderId="15" xfId="0" applyNumberFormat="1" applyFill="1" applyBorder="1"/>
    <xf numFmtId="164" fontId="0" fillId="0" borderId="15" xfId="0" applyNumberFormat="1" applyBorder="1"/>
    <xf numFmtId="164" fontId="0" fillId="2" borderId="16" xfId="0" applyNumberFormat="1" applyFill="1" applyBorder="1"/>
    <xf numFmtId="164" fontId="0" fillId="2" borderId="17" xfId="0" applyNumberFormat="1" applyFill="1" applyBorder="1"/>
    <xf numFmtId="164" fontId="0" fillId="0" borderId="19" xfId="0" quotePrefix="1" applyNumberFormat="1" applyBorder="1" applyAlignment="1">
      <alignment horizontal="right"/>
    </xf>
    <xf numFmtId="164" fontId="0" fillId="2" borderId="1" xfId="0" applyNumberFormat="1" applyFill="1" applyBorder="1"/>
    <xf numFmtId="164" fontId="0" fillId="0" borderId="1" xfId="0" applyNumberFormat="1" applyBorder="1"/>
    <xf numFmtId="164" fontId="0" fillId="2" borderId="20" xfId="0" applyNumberFormat="1" applyFill="1" applyBorder="1"/>
    <xf numFmtId="13" fontId="0" fillId="0" borderId="21" xfId="0" applyNumberFormat="1" applyBorder="1" applyAlignment="1">
      <alignment horizontal="left"/>
    </xf>
    <xf numFmtId="13" fontId="0" fillId="2" borderId="22" xfId="0" applyNumberFormat="1" applyFill="1" applyBorder="1"/>
    <xf numFmtId="13" fontId="0" fillId="0" borderId="22" xfId="0" applyNumberFormat="1" applyBorder="1"/>
    <xf numFmtId="13" fontId="0" fillId="2" borderId="23" xfId="0" applyNumberFormat="1" applyFill="1" applyBorder="1"/>
    <xf numFmtId="13" fontId="0" fillId="2" borderId="21" xfId="0" applyNumberFormat="1" applyFill="1" applyBorder="1"/>
    <xf numFmtId="164" fontId="0" fillId="2" borderId="19" xfId="0" applyNumberFormat="1" applyFill="1" applyBorder="1"/>
    <xf numFmtId="164" fontId="0" fillId="2" borderId="13" xfId="0" applyNumberFormat="1" applyFill="1" applyBorder="1"/>
    <xf numFmtId="164" fontId="0" fillId="2" borderId="14" xfId="0" applyNumberFormat="1" applyFill="1" applyBorder="1"/>
    <xf numFmtId="0" fontId="0" fillId="0" borderId="0" xfId="0" applyAlignment="1" applyProtection="1">
      <alignment horizontal="center"/>
      <protection locked="0"/>
    </xf>
    <xf numFmtId="165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65" fontId="8" fillId="0" borderId="0" xfId="0" applyNumberFormat="1" applyFont="1" applyAlignment="1">
      <alignment vertical="center" wrapText="1"/>
    </xf>
    <xf numFmtId="165" fontId="9" fillId="0" borderId="0" xfId="0" applyNumberFormat="1" applyFont="1" applyAlignment="1">
      <alignment wrapText="1"/>
    </xf>
    <xf numFmtId="0" fontId="10" fillId="0" borderId="0" xfId="0" applyFont="1" applyAlignment="1">
      <alignment wrapText="1"/>
    </xf>
    <xf numFmtId="0" fontId="4" fillId="0" borderId="0" xfId="0" applyFont="1"/>
    <xf numFmtId="0" fontId="12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0" fillId="3" borderId="11" xfId="0" quotePrefix="1" applyFill="1" applyBorder="1" applyAlignment="1">
      <alignment horizontal="center"/>
    </xf>
    <xf numFmtId="0" fontId="0" fillId="3" borderId="12" xfId="0" quotePrefix="1" applyFill="1" applyBorder="1" applyAlignment="1">
      <alignment horizontal="center"/>
    </xf>
    <xf numFmtId="0" fontId="0" fillId="2" borderId="21" xfId="0" applyFill="1" applyBorder="1"/>
    <xf numFmtId="0" fontId="0" fillId="0" borderId="22" xfId="0" applyBorder="1"/>
    <xf numFmtId="0" fontId="0" fillId="2" borderId="22" xfId="0" applyFill="1" applyBorder="1"/>
    <xf numFmtId="0" fontId="0" fillId="2" borderId="23" xfId="0" applyFill="1" applyBorder="1"/>
    <xf numFmtId="0" fontId="0" fillId="0" borderId="21" xfId="0" applyBorder="1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12" fontId="0" fillId="0" borderId="0" xfId="0" quotePrefix="1" applyNumberFormat="1" applyAlignment="1">
      <alignment horizontal="center"/>
    </xf>
    <xf numFmtId="164" fontId="0" fillId="0" borderId="0" xfId="0" quotePrefix="1" applyNumberFormat="1" applyAlignment="1">
      <alignment horizontal="right"/>
    </xf>
    <xf numFmtId="44" fontId="0" fillId="0" borderId="0" xfId="6" applyFont="1" applyProtection="1">
      <protection locked="0"/>
    </xf>
    <xf numFmtId="9" fontId="0" fillId="0" borderId="0" xfId="7" applyFont="1"/>
    <xf numFmtId="0" fontId="0" fillId="0" borderId="0" xfId="0" applyAlignment="1" applyProtection="1">
      <alignment wrapText="1"/>
      <protection locked="0"/>
    </xf>
    <xf numFmtId="44" fontId="0" fillId="0" borderId="0" xfId="6" applyFont="1" applyAlignment="1" applyProtection="1">
      <alignment wrapText="1"/>
      <protection locked="0"/>
    </xf>
    <xf numFmtId="9" fontId="0" fillId="0" borderId="0" xfId="7" applyFont="1" applyAlignment="1" applyProtection="1">
      <alignment wrapText="1"/>
      <protection locked="0"/>
    </xf>
    <xf numFmtId="0" fontId="14" fillId="0" borderId="0" xfId="0" applyFont="1" applyAlignment="1" applyProtection="1">
      <alignment wrapText="1"/>
      <protection locked="0"/>
    </xf>
    <xf numFmtId="44" fontId="14" fillId="0" borderId="0" xfId="6" applyFont="1" applyAlignment="1" applyProtection="1">
      <alignment wrapText="1"/>
      <protection locked="0"/>
    </xf>
    <xf numFmtId="9" fontId="0" fillId="0" borderId="0" xfId="7" applyFont="1" applyProtection="1">
      <protection locked="0"/>
    </xf>
    <xf numFmtId="0" fontId="0" fillId="0" borderId="24" xfId="0" applyBorder="1" applyProtection="1">
      <protection locked="0"/>
    </xf>
    <xf numFmtId="9" fontId="0" fillId="0" borderId="3" xfId="7" applyFont="1" applyBorder="1" applyProtection="1">
      <protection locked="0"/>
    </xf>
    <xf numFmtId="0" fontId="0" fillId="0" borderId="25" xfId="0" applyBorder="1" applyProtection="1">
      <protection locked="0"/>
    </xf>
    <xf numFmtId="9" fontId="0" fillId="0" borderId="18" xfId="7" applyFont="1" applyBorder="1" applyProtection="1">
      <protection locked="0"/>
    </xf>
    <xf numFmtId="44" fontId="0" fillId="0" borderId="18" xfId="6" applyFont="1" applyBorder="1" applyAlignment="1" applyProtection="1">
      <alignment wrapText="1"/>
      <protection locked="0"/>
    </xf>
    <xf numFmtId="44" fontId="0" fillId="0" borderId="18" xfId="6" applyFont="1" applyBorder="1" applyProtection="1">
      <protection locked="0"/>
    </xf>
    <xf numFmtId="9" fontId="0" fillId="0" borderId="18" xfId="7" applyFont="1" applyBorder="1" applyAlignment="1" applyProtection="1">
      <alignment wrapText="1"/>
      <protection locked="0"/>
    </xf>
    <xf numFmtId="0" fontId="1" fillId="0" borderId="4" xfId="0" applyFont="1" applyBorder="1" applyProtection="1">
      <protection locked="0"/>
    </xf>
    <xf numFmtId="44" fontId="1" fillId="0" borderId="6" xfId="6" applyFont="1" applyBorder="1" applyProtection="1">
      <protection locked="0"/>
    </xf>
    <xf numFmtId="44" fontId="4" fillId="0" borderId="3" xfId="6" applyFont="1" applyBorder="1" applyAlignment="1">
      <alignment wrapText="1"/>
    </xf>
    <xf numFmtId="44" fontId="16" fillId="0" borderId="27" xfId="6" applyFont="1" applyBorder="1" applyAlignment="1">
      <alignment wrapText="1"/>
    </xf>
    <xf numFmtId="9" fontId="4" fillId="0" borderId="0" xfId="7" applyFont="1" applyAlignment="1">
      <alignment wrapText="1"/>
    </xf>
    <xf numFmtId="9" fontId="0" fillId="0" borderId="0" xfId="7" applyFont="1" applyBorder="1" applyProtection="1">
      <protection locked="0"/>
    </xf>
    <xf numFmtId="0" fontId="0" fillId="0" borderId="24" xfId="0" applyBorder="1"/>
    <xf numFmtId="0" fontId="0" fillId="0" borderId="3" xfId="0" applyBorder="1"/>
    <xf numFmtId="0" fontId="0" fillId="0" borderId="25" xfId="0" applyBorder="1"/>
    <xf numFmtId="0" fontId="0" fillId="0" borderId="18" xfId="0" applyBorder="1"/>
    <xf numFmtId="0" fontId="0" fillId="0" borderId="26" xfId="0" applyBorder="1"/>
    <xf numFmtId="0" fontId="0" fillId="0" borderId="27" xfId="0" applyBorder="1"/>
    <xf numFmtId="44" fontId="0" fillId="0" borderId="0" xfId="6" applyFont="1"/>
    <xf numFmtId="167" fontId="0" fillId="0" borderId="0" xfId="0" applyNumberFormat="1"/>
    <xf numFmtId="167" fontId="0" fillId="0" borderId="0" xfId="0" applyNumberFormat="1" applyProtection="1">
      <protection locked="0"/>
    </xf>
    <xf numFmtId="0" fontId="16" fillId="0" borderId="28" xfId="0" applyFont="1" applyBorder="1" applyAlignment="1">
      <alignment horizontal="right" wrapText="1"/>
    </xf>
    <xf numFmtId="44" fontId="4" fillId="0" borderId="27" xfId="6" applyFont="1" applyBorder="1" applyAlignment="1">
      <alignment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4" fillId="0" borderId="30" xfId="0" applyFont="1" applyBorder="1" applyAlignment="1">
      <alignment wrapText="1"/>
    </xf>
    <xf numFmtId="0" fontId="4" fillId="0" borderId="0" xfId="6" applyNumberFormat="1" applyFont="1" applyAlignment="1">
      <alignment wrapText="1"/>
    </xf>
    <xf numFmtId="0" fontId="0" fillId="7" borderId="31" xfId="0" applyFill="1" applyBorder="1"/>
    <xf numFmtId="0" fontId="0" fillId="0" borderId="31" xfId="0" applyBorder="1"/>
    <xf numFmtId="1" fontId="0" fillId="0" borderId="0" xfId="0" applyNumberFormat="1" applyProtection="1">
      <protection locked="0"/>
    </xf>
    <xf numFmtId="1" fontId="0" fillId="0" borderId="0" xfId="0" applyNumberFormat="1" applyAlignment="1" applyProtection="1">
      <alignment wrapText="1"/>
      <protection locked="0"/>
    </xf>
    <xf numFmtId="1" fontId="14" fillId="0" borderId="0" xfId="0" applyNumberFormat="1" applyFont="1" applyAlignment="1" applyProtection="1">
      <alignment wrapText="1"/>
      <protection locked="0"/>
    </xf>
    <xf numFmtId="1" fontId="0" fillId="0" borderId="0" xfId="6" applyNumberFormat="1" applyFont="1" applyProtection="1">
      <protection locked="0"/>
    </xf>
    <xf numFmtId="0" fontId="24" fillId="0" borderId="0" xfId="4" applyFont="1" applyAlignment="1">
      <alignment horizontal="right"/>
    </xf>
    <xf numFmtId="0" fontId="24" fillId="0" borderId="0" xfId="4" applyFont="1" applyAlignment="1"/>
    <xf numFmtId="44" fontId="4" fillId="0" borderId="18" xfId="6" applyFont="1" applyBorder="1" applyAlignment="1">
      <alignment wrapText="1"/>
    </xf>
    <xf numFmtId="165" fontId="20" fillId="0" borderId="32" xfId="0" applyNumberFormat="1" applyFont="1" applyBorder="1"/>
    <xf numFmtId="0" fontId="21" fillId="0" borderId="33" xfId="0" applyFont="1" applyBorder="1"/>
    <xf numFmtId="0" fontId="22" fillId="0" borderId="33" xfId="2" applyFont="1" applyBorder="1" applyAlignment="1">
      <alignment vertical="center"/>
    </xf>
    <xf numFmtId="0" fontId="22" fillId="0" borderId="34" xfId="2" applyFont="1" applyBorder="1" applyAlignment="1">
      <alignment vertical="center"/>
    </xf>
    <xf numFmtId="0" fontId="23" fillId="0" borderId="25" xfId="3" applyFont="1" applyBorder="1"/>
    <xf numFmtId="166" fontId="20" fillId="0" borderId="18" xfId="0" applyNumberFormat="1" applyFont="1" applyBorder="1" applyAlignment="1">
      <alignment horizontal="left"/>
    </xf>
    <xf numFmtId="0" fontId="25" fillId="0" borderId="25" xfId="1" applyFont="1" applyBorder="1" applyAlignment="1">
      <alignment horizontal="left" vertical="top"/>
    </xf>
    <xf numFmtId="0" fontId="24" fillId="0" borderId="0" xfId="4" applyFont="1">
      <alignment horizontal="right" vertical="top"/>
    </xf>
    <xf numFmtId="9" fontId="26" fillId="0" borderId="0" xfId="0" applyNumberFormat="1" applyFont="1" applyAlignment="1">
      <alignment wrapText="1"/>
    </xf>
    <xf numFmtId="0" fontId="4" fillId="0" borderId="25" xfId="0" applyFont="1" applyBorder="1" applyAlignment="1">
      <alignment wrapText="1"/>
    </xf>
    <xf numFmtId="0" fontId="4" fillId="0" borderId="25" xfId="0" applyFont="1" applyBorder="1" applyAlignment="1">
      <alignment horizontal="right" wrapText="1"/>
    </xf>
    <xf numFmtId="0" fontId="4" fillId="0" borderId="26" xfId="0" applyFont="1" applyBorder="1" applyAlignment="1">
      <alignment horizontal="right" wrapText="1"/>
    </xf>
    <xf numFmtId="9" fontId="27" fillId="0" borderId="18" xfId="0" applyNumberFormat="1" applyFont="1" applyBorder="1" applyAlignment="1">
      <alignment horizontal="left" wrapText="1"/>
    </xf>
    <xf numFmtId="0" fontId="28" fillId="0" borderId="0" xfId="0" applyFont="1"/>
    <xf numFmtId="9" fontId="0" fillId="0" borderId="27" xfId="7" applyFont="1" applyBorder="1" applyProtection="1">
      <protection locked="0"/>
    </xf>
    <xf numFmtId="0" fontId="1" fillId="0" borderId="10" xfId="0" applyFont="1" applyBorder="1" applyAlignment="1" applyProtection="1">
      <alignment horizontal="right"/>
      <protection locked="0"/>
    </xf>
    <xf numFmtId="0" fontId="1" fillId="0" borderId="28" xfId="0" applyFont="1" applyBorder="1" applyAlignment="1" applyProtection="1">
      <alignment horizontal="right"/>
      <protection locked="0"/>
    </xf>
    <xf numFmtId="0" fontId="13" fillId="0" borderId="0" xfId="0" applyFont="1" applyAlignment="1">
      <alignment horizontal="right"/>
    </xf>
    <xf numFmtId="0" fontId="13" fillId="0" borderId="24" xfId="0" applyFont="1" applyBorder="1" applyAlignment="1">
      <alignment horizontal="right"/>
    </xf>
    <xf numFmtId="0" fontId="13" fillId="0" borderId="36" xfId="0" applyFont="1" applyBorder="1" applyAlignment="1">
      <alignment horizontal="right"/>
    </xf>
    <xf numFmtId="0" fontId="13" fillId="0" borderId="25" xfId="0" applyFont="1" applyBorder="1" applyAlignment="1">
      <alignment horizontal="right"/>
    </xf>
    <xf numFmtId="0" fontId="13" fillId="0" borderId="26" xfId="0" applyFont="1" applyBorder="1" applyAlignment="1">
      <alignment horizontal="right" wrapText="1"/>
    </xf>
    <xf numFmtId="0" fontId="13" fillId="0" borderId="35" xfId="0" applyFont="1" applyBorder="1" applyAlignment="1">
      <alignment horizontal="right" wrapText="1"/>
    </xf>
    <xf numFmtId="0" fontId="24" fillId="0" borderId="0" xfId="4" applyFont="1" applyAlignment="1">
      <alignment horizontal="right" vertical="center"/>
    </xf>
    <xf numFmtId="9" fontId="26" fillId="0" borderId="0" xfId="0" applyNumberFormat="1" applyFont="1" applyAlignment="1">
      <alignment vertical="top"/>
    </xf>
    <xf numFmtId="9" fontId="27" fillId="0" borderId="18" xfId="0" applyNumberFormat="1" applyFont="1" applyBorder="1" applyAlignment="1">
      <alignment horizontal="left"/>
    </xf>
    <xf numFmtId="0" fontId="4" fillId="0" borderId="24" xfId="0" applyFont="1" applyBorder="1" applyAlignment="1">
      <alignment wrapText="1"/>
    </xf>
    <xf numFmtId="0" fontId="4" fillId="0" borderId="3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3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44" fontId="4" fillId="0" borderId="38" xfId="6" applyFont="1" applyBorder="1" applyAlignment="1">
      <alignment wrapText="1"/>
    </xf>
    <xf numFmtId="44" fontId="4" fillId="0" borderId="37" xfId="6" applyFont="1" applyBorder="1" applyAlignment="1">
      <alignment wrapText="1"/>
    </xf>
    <xf numFmtId="44" fontId="4" fillId="0" borderId="39" xfId="6" applyFont="1" applyBorder="1" applyAlignment="1">
      <alignment wrapText="1"/>
    </xf>
    <xf numFmtId="44" fontId="4" fillId="0" borderId="40" xfId="6" applyFont="1" applyBorder="1" applyAlignment="1">
      <alignment wrapText="1"/>
    </xf>
    <xf numFmtId="167" fontId="18" fillId="5" borderId="29" xfId="0" applyNumberFormat="1" applyFont="1" applyFill="1" applyBorder="1"/>
    <xf numFmtId="167" fontId="0" fillId="6" borderId="29" xfId="0" applyNumberFormat="1" applyFill="1" applyBorder="1"/>
    <xf numFmtId="167" fontId="0" fillId="0" borderId="29" xfId="0" applyNumberFormat="1" applyBorder="1"/>
    <xf numFmtId="0" fontId="29" fillId="6" borderId="29" xfId="0" applyFont="1" applyFill="1" applyBorder="1"/>
    <xf numFmtId="0" fontId="29" fillId="0" borderId="29" xfId="0" applyFont="1" applyBorder="1"/>
    <xf numFmtId="0" fontId="1" fillId="0" borderId="0" xfId="0" applyFont="1" applyAlignment="1" applyProtection="1">
      <alignment horizontal="right"/>
      <protection locked="0"/>
    </xf>
    <xf numFmtId="0" fontId="1" fillId="0" borderId="38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4" fontId="1" fillId="0" borderId="2" xfId="6" applyFont="1" applyBorder="1" applyAlignment="1">
      <alignment horizontal="center" vertical="top"/>
    </xf>
    <xf numFmtId="0" fontId="19" fillId="5" borderId="26" xfId="0" applyFont="1" applyFill="1" applyBorder="1" applyAlignment="1">
      <alignment horizontal="center"/>
    </xf>
    <xf numFmtId="0" fontId="19" fillId="5" borderId="35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9" fontId="0" fillId="0" borderId="25" xfId="7" applyFont="1" applyBorder="1" applyAlignment="1" applyProtection="1">
      <alignment horizontal="left" wrapText="1"/>
      <protection locked="0"/>
    </xf>
    <xf numFmtId="9" fontId="0" fillId="0" borderId="0" xfId="7" applyFont="1" applyBorder="1" applyAlignment="1" applyProtection="1">
      <alignment horizontal="left" wrapText="1"/>
      <protection locked="0"/>
    </xf>
    <xf numFmtId="9" fontId="0" fillId="0" borderId="25" xfId="7" applyFont="1" applyBorder="1" applyAlignment="1" applyProtection="1">
      <alignment horizontal="left"/>
      <protection locked="0"/>
    </xf>
    <xf numFmtId="9" fontId="0" fillId="0" borderId="0" xfId="7" applyFont="1" applyBorder="1" applyAlignment="1" applyProtection="1">
      <alignment horizontal="left"/>
      <protection locked="0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</cellXfs>
  <cellStyles count="8">
    <cellStyle name="Currency" xfId="6" builtinId="4"/>
    <cellStyle name="Explanatory Text" xfId="1" builtinId="53"/>
    <cellStyle name="Normal" xfId="0" builtinId="0"/>
    <cellStyle name="Normal 2" xfId="2" xr:uid="{38278CE0-58D0-4E90-8DAC-6CD6E653F7BF}"/>
    <cellStyle name="Normal 3" xfId="3" xr:uid="{5452A6A6-3943-49E0-8BBE-78FE89BD0EAA}"/>
    <cellStyle name="Normal 4" xfId="4" xr:uid="{547AF942-1769-4510-B7D8-B12DB96D1B13}"/>
    <cellStyle name="Normal 5" xfId="5" xr:uid="{057E88E3-03EA-4EF9-A914-C25A68ADC3AB}"/>
    <cellStyle name="Percent" xfId="7" builtinId="5"/>
  </cellStyles>
  <dxfs count="98"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 Light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 Light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 Light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0.1499984740745262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ck">
          <color rgb="FFED7D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 Light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 Light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 Light"/>
        <family val="2"/>
        <scheme val="major"/>
      </font>
      <fill>
        <patternFill patternType="solid">
          <fgColor indexed="64"/>
          <bgColor indexed="9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theme="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34" formatCode="_(&quot;$&quot;* #,##0.00_);_(&quot;$&quot;* \(#,##0.00\);_(&quot;$&quot;* &quot;-&quot;??_);_(@_)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0" formatCode="General"/>
      <alignment horizontal="right" vertical="bottom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62626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thick">
          <color rgb="FFED7D3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protection locked="0" hidden="0"/>
    </dxf>
    <dxf>
      <numFmt numFmtId="34" formatCode="_(&quot;$&quot;* #,##0.00_);_(&quot;$&quot;* \(#,##0.00\);_(&quot;$&quot;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protection locked="0" hidden="0"/>
    </dxf>
    <dxf>
      <numFmt numFmtId="0" formatCode="General"/>
      <protection locked="0" hidden="0"/>
    </dxf>
    <dxf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167" formatCode="#\ ?/#"/>
      <protection locked="0" hidden="0"/>
    </dxf>
    <dxf>
      <numFmt numFmtId="167" formatCode="#\ ?/#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#\ ?/#"/>
    </dxf>
    <dxf>
      <numFmt numFmtId="167" formatCode="#\ ?/#"/>
    </dxf>
    <dxf>
      <numFmt numFmtId="167" formatCode="#\ ?/#"/>
    </dxf>
    <dxf>
      <numFmt numFmtId="167" formatCode="#\ ?/#"/>
    </dxf>
    <dxf>
      <numFmt numFmtId="167" formatCode="#\ ?/#"/>
    </dxf>
    <dxf>
      <numFmt numFmtId="167" formatCode="#\ ?/#"/>
    </dxf>
    <dxf>
      <numFmt numFmtId="167" formatCode="#\ ?/#"/>
    </dxf>
    <dxf>
      <numFmt numFmtId="167" formatCode="#\ ?/#"/>
    </dxf>
    <dxf>
      <numFmt numFmtId="167" formatCode="#\ ?/#"/>
    </dxf>
    <dxf>
      <numFmt numFmtId="167" formatCode="#\ ?/#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2" name="AutoShape 3" descr="Image preview">
          <a:extLst>
            <a:ext uri="{FF2B5EF4-FFF2-40B4-BE49-F238E27FC236}">
              <a16:creationId xmlns:a16="http://schemas.microsoft.com/office/drawing/2014/main" id="{8CA70F97-7695-444C-B7BF-156E470273F2}"/>
            </a:ext>
          </a:extLst>
        </xdr:cNvPr>
        <xdr:cNvSpPr>
          <a:spLocks noChangeAspect="1" noChangeArrowheads="1"/>
        </xdr:cNvSpPr>
      </xdr:nvSpPr>
      <xdr:spPr bwMode="auto">
        <a:xfrm>
          <a:off x="1895475" y="1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3" name="AutoShape 5" descr="Image preview">
          <a:extLst>
            <a:ext uri="{FF2B5EF4-FFF2-40B4-BE49-F238E27FC236}">
              <a16:creationId xmlns:a16="http://schemas.microsoft.com/office/drawing/2014/main" id="{59D5DD4E-803D-4CB0-B6A3-E4E4B4397197}"/>
            </a:ext>
          </a:extLst>
        </xdr:cNvPr>
        <xdr:cNvSpPr>
          <a:spLocks noChangeAspect="1" noChangeArrowheads="1"/>
        </xdr:cNvSpPr>
      </xdr:nvSpPr>
      <xdr:spPr bwMode="auto">
        <a:xfrm>
          <a:off x="1895475" y="1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1</xdr:row>
      <xdr:rowOff>76200</xdr:rowOff>
    </xdr:from>
    <xdr:to>
      <xdr:col>3</xdr:col>
      <xdr:colOff>1009650</xdr:colOff>
      <xdr:row>1</xdr:row>
      <xdr:rowOff>656273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A26BC0-9BA3-4DCD-8CDF-211541971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247650"/>
          <a:ext cx="1933575" cy="5800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27" name="AutoShape 3" descr="Image preview">
          <a:extLst>
            <a:ext uri="{FF2B5EF4-FFF2-40B4-BE49-F238E27FC236}">
              <a16:creationId xmlns:a16="http://schemas.microsoft.com/office/drawing/2014/main" id="{FBB4E698-55C7-D752-9A8B-DEDA8B1660CA}"/>
            </a:ext>
          </a:extLst>
        </xdr:cNvPr>
        <xdr:cNvSpPr>
          <a:spLocks noChangeAspect="1" noChangeArrowheads="1"/>
        </xdr:cNvSpPr>
      </xdr:nvSpPr>
      <xdr:spPr bwMode="auto">
        <a:xfrm>
          <a:off x="1238250" y="1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304800</xdr:colOff>
      <xdr:row>1</xdr:row>
      <xdr:rowOff>304800</xdr:rowOff>
    </xdr:to>
    <xdr:sp macro="" textlink="">
      <xdr:nvSpPr>
        <xdr:cNvPr id="1029" name="AutoShape 5" descr="Image preview">
          <a:extLst>
            <a:ext uri="{FF2B5EF4-FFF2-40B4-BE49-F238E27FC236}">
              <a16:creationId xmlns:a16="http://schemas.microsoft.com/office/drawing/2014/main" id="{1C912E5B-6B33-3D63-918D-E535B02C723F}"/>
            </a:ext>
          </a:extLst>
        </xdr:cNvPr>
        <xdr:cNvSpPr>
          <a:spLocks noChangeAspect="1" noChangeArrowheads="1"/>
        </xdr:cNvSpPr>
      </xdr:nvSpPr>
      <xdr:spPr bwMode="auto">
        <a:xfrm>
          <a:off x="1238250" y="1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1</xdr:row>
      <xdr:rowOff>76200</xdr:rowOff>
    </xdr:from>
    <xdr:to>
      <xdr:col>3</xdr:col>
      <xdr:colOff>1009650</xdr:colOff>
      <xdr:row>1</xdr:row>
      <xdr:rowOff>656273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7AD84B-9A49-CA63-3C0F-B8E241B1B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247650"/>
          <a:ext cx="1933575" cy="58007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2E4449-814C-4050-8917-5C32E52B6D99}" name="Table5" displayName="Table5" ref="A26:N45" totalsRowShown="0">
  <autoFilter ref="A26:N45" xr:uid="{0B2E4449-814C-4050-8917-5C32E52B6D99}"/>
  <tableColumns count="14">
    <tableColumn id="1" xr3:uid="{7C9A8ADE-693E-461B-884D-9965805301A2}" name="STYLE"/>
    <tableColumn id="2" xr3:uid="{0B907CDD-F75E-42BC-B2BB-26A986CC3465}" name="PART"/>
    <tableColumn id="3" xr3:uid="{81430BF2-755B-43F7-83C1-6F46FA687F74}" name="LF"/>
    <tableColumn id="4" xr3:uid="{DC792E37-C5A9-48E6-9F51-EFB469B843E5}" name="DESCRIPTION" dataDxfId="97">
      <calculatedColumnFormula>Table5[[#This Row],[STYLE]]&amp;" "&amp;Table5[[#This Row],[PART]]</calculatedColumnFormula>
    </tableColumn>
    <tableColumn id="11" xr3:uid="{9456016F-A15D-4A32-B7FA-E1B1B85EBD99}" name="CUSTOM WIDTH" dataDxfId="96"/>
    <tableColumn id="12" xr3:uid="{E613381B-6851-4F79-B9A1-21395AF1F2B4}" name="CUSTOM THICKNESS" dataDxfId="95"/>
    <tableColumn id="5" xr3:uid="{DAA3146C-F6BF-42DC-A6C6-39BC16F9D619}" name="STANDARD WIDTH" dataDxfId="94"/>
    <tableColumn id="6" xr3:uid="{05FEE710-3A5A-4E0E-8D46-3887B6762472}" name="STANDARD THICKNESS" dataDxfId="93"/>
    <tableColumn id="7" xr3:uid="{43638123-43E5-401F-8826-E1EB72840867}" name="ECONOMY WIDTH" dataDxfId="92"/>
    <tableColumn id="8" xr3:uid="{76E18CB6-506A-48B4-92C8-9617E5C71107}" name="ECONOMY THICKNESS" dataDxfId="91"/>
    <tableColumn id="9" xr3:uid="{D8DF90C3-C4B3-4F8A-AA7D-59F704E64174}" name="UPGRADE WIDTH" dataDxfId="90"/>
    <tableColumn id="10" xr3:uid="{2F68E517-E0DA-470C-97AE-D9E95AC9F4A5}" name="UPGRADED THICKNESS" dataDxfId="89"/>
    <tableColumn id="13" xr3:uid="{F0A44166-8FCD-4D0A-9E33-EE99926412B0}" name="ACTUAL WIDTH" dataDxfId="88">
      <calculatedColumnFormula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calculatedColumnFormula>
    </tableColumn>
    <tableColumn id="14" xr3:uid="{A0232766-2DEA-4602-8840-A1A61552B447}" name="ACTUAL THICKNESS" dataDxfId="87">
      <calculatedColumnFormula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17C88B-0417-4CA8-A890-9D9CE0AF41D0}" name="Table8" displayName="Table8" ref="B6:C23" totalsRowShown="0">
  <autoFilter ref="B6:C23" xr:uid="{1517C88B-0417-4CA8-A890-9D9CE0AF41D0}"/>
  <tableColumns count="2">
    <tableColumn id="1" xr3:uid="{2A732EAB-535F-4617-8FB4-9DD601EAF156}" name="ITEM"/>
    <tableColumn id="2" xr3:uid="{69A7BB11-AB6F-4977-B73B-4218C8762CBF}" name="LF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53324AE-946E-4296-8D8A-D79E89799154}" name="Table17" displayName="Table17" ref="A2:L52" totalsRowShown="0">
  <autoFilter ref="A2:L52" xr:uid="{E53324AE-946E-4296-8D8A-D79E89799154}"/>
  <tableColumns count="12">
    <tableColumn id="1" xr3:uid="{BD08D6DD-ADF4-4B0E-81D8-193BA83D160E}" name="Line Number"/>
    <tableColumn id="2" xr3:uid="{B6EDD591-A55E-4E04-95CF-D41C50762A40}" name="Type" dataDxfId="86">
      <calculatedColumnFormula>IFERROR(INDEX(Table18[Type],MATCH(Table17[[#This Row],[Line Number]],Table18[Line Number],0)),"")</calculatedColumnFormula>
    </tableColumn>
    <tableColumn id="3" xr3:uid="{9191D3A4-03F2-4160-A0FE-CFB3A8CE10EA}" name="Width" dataDxfId="85">
      <calculatedColumnFormula>IFERROR(INDEX(Table18[Width],MATCH(Table17[[#This Row],[Line Number]],Table18[Line Number],0)),"")</calculatedColumnFormula>
    </tableColumn>
    <tableColumn id="4" xr3:uid="{6F6F4AE3-0F1A-40EB-9FCE-451D3A0A7160}" name="Height" dataDxfId="84">
      <calculatedColumnFormula>IFERROR(INDEX(Table18[Height],MATCH(Table17[[#This Row],[Line Number]],Table18[Line Number],0)),"")</calculatedColumnFormula>
    </tableColumn>
    <tableColumn id="5" xr3:uid="{ACE97991-71BF-48F4-B928-CA3E712972C5}" name="LH" dataDxfId="83">
      <calculatedColumnFormula>IFERROR(INDEX(Table18[LH],MATCH(Table17[[#This Row],[Line Number]],Table18[Line Number],0)),"")</calculatedColumnFormula>
    </tableColumn>
    <tableColumn id="6" xr3:uid="{F9038AD9-2892-4030-8BE7-F78AC7D0BC1F}" name="RH" dataDxfId="82">
      <calculatedColumnFormula>IFERROR(INDEX(Table18[RH],MATCH(Table17[[#This Row],[Line Number]],Table18[Line Number],0)),"")</calculatedColumnFormula>
    </tableColumn>
    <tableColumn id="7" xr3:uid="{2E01AADC-6304-40A2-BA88-C09B2910D64B}" name="Total" dataDxfId="81">
      <calculatedColumnFormula>IFERROR(Table17[[#This Row],[RH]]+Table17[[#This Row],[LH]],"")</calculatedColumnFormula>
    </tableColumn>
    <tableColumn id="8" xr3:uid="{A6E8502B-3720-4D4E-B851-0D23875B7E1B}" name="Width Name" dataDxfId="80">
      <calculatedColumnFormula>IFERROR(INDEX(Table16[Name],MATCH(Table17[[#This Row],[Width]],Table16[Size],0)),"")</calculatedColumnFormula>
    </tableColumn>
    <tableColumn id="9" xr3:uid="{4409730A-D062-4463-8201-70901192F81C}" name="Height Name" dataDxfId="79">
      <calculatedColumnFormula>IFERROR(INDEX(Table16[Name],MATCH(Table17[[#This Row],[Height]],Table16[Size],0)),"")</calculatedColumnFormula>
    </tableColumn>
    <tableColumn id="10" xr3:uid="{E6978D48-6BA1-47FA-BA03-E7114333DA83}" name="Door Name" dataDxfId="78">
      <calculatedColumnFormula>IF(Table17[[#This Row],[Type]]="","",Table17[[#This Row],[Width Name]]&amp;"/"&amp;Table17[[#This Row],[Height Name]]&amp;" "&amp;Table17[[#This Row],[Type]])</calculatedColumnFormula>
    </tableColumn>
    <tableColumn id="11" xr3:uid="{23826F35-6D61-4E1B-9A71-06FC1165168D}" name="Door Price" dataDxfId="77"/>
    <tableColumn id="12" xr3:uid="{3379D739-3519-482D-B8F9-5DE42E6D8E73}" name="Finish Price" data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07CAE4-495A-4F92-9E1A-36051B294BB1}" name="Table11" displayName="Table11" ref="B3:G35" totalsRowShown="0">
  <autoFilter ref="B3:G35" xr:uid="{5007CAE4-495A-4F92-9E1A-36051B294BB1}"/>
  <tableColumns count="6">
    <tableColumn id="6" xr3:uid="{B1CBF134-350E-49EC-A922-C8537EAF1899}" name="Line Number" dataDxfId="75">
      <calculatedColumnFormula>IF(Table11[[#This Row],[Total]]=0,"",(MAX(B$3:B3)+1))</calculatedColumnFormula>
    </tableColumn>
    <tableColumn id="1" xr3:uid="{E33B292D-F0F3-4D1F-99D8-04F6E1D35CC3}" name="Type"/>
    <tableColumn id="2" xr3:uid="{484C0133-4212-4BE6-89E1-F64E3D48537D}" name="Width" dataDxfId="74"/>
    <tableColumn id="3" xr3:uid="{42018F3D-1A94-4491-92E6-20591448E8C7}" name="LH"/>
    <tableColumn id="4" xr3:uid="{F59DC8AF-06EF-4F3F-989D-A13DE460BCB8}" name="RH"/>
    <tableColumn id="5" xr3:uid="{30269649-B76F-44D3-8426-BC6740491949}" name="Total" dataDxfId="73">
      <calculatedColumnFormula>Table11[[#This Row],[RH]]+Table11[[#This Row],[LH]]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9285A4-89C6-4820-A37A-B83E0577E19A}" name="Table1115" displayName="Table1115" ref="I3:N35" totalsRowShown="0">
  <autoFilter ref="I3:N35" xr:uid="{009285A4-89C6-4820-A37A-B83E0577E19A}"/>
  <tableColumns count="6">
    <tableColumn id="6" xr3:uid="{6ED12C64-DD54-4D25-B20A-5F2F5194C4C2}" name="Line Number" dataDxfId="72">
      <calculatedColumnFormula>IF(Table1115[[#This Row],[Total]]=0,"",(MAX(I$3:I3)+1)+(MAX(Table11[Line Number])))</calculatedColumnFormula>
    </tableColumn>
    <tableColumn id="1" xr3:uid="{FFB9A025-C1C8-471E-B505-AD1266C8EBB0}" name="Type"/>
    <tableColumn id="2" xr3:uid="{E9288C62-837D-4105-88D1-F9AEACB28995}" name="Width" dataDxfId="71"/>
    <tableColumn id="3" xr3:uid="{B9DBD436-70A1-4BF3-B9C6-D655B6432640}" name="LH"/>
    <tableColumn id="4" xr3:uid="{CDB12B34-A05D-412C-B172-7E4A53BCC64B}" name="RH"/>
    <tableColumn id="5" xr3:uid="{2A903C3C-A76A-4F7C-B32F-BBC86031463F}" name="Total" dataDxfId="70">
      <calculatedColumnFormula>Table1115[[#This Row],[RH]]+Table1115[[#This Row],[LH]]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CA276AD-CFFF-4156-BD5F-764F6CE1563A}" name="Table1116" displayName="Table1116" ref="P3:U35" totalsRowShown="0">
  <autoFilter ref="P3:U35" xr:uid="{4CA276AD-CFFF-4156-BD5F-764F6CE1563A}"/>
  <tableColumns count="6">
    <tableColumn id="6" xr3:uid="{BBE9D80D-CF58-4C9B-8AA4-99DAFAF00822}" name="Line Number" dataDxfId="69">
      <calculatedColumnFormula>IF(Table1116[[#This Row],[Total]]=0,"",(MAX(P$3:P3)+1)+MAX(Table1115[Line Number]))</calculatedColumnFormula>
    </tableColumn>
    <tableColumn id="1" xr3:uid="{9420128F-EE9F-4B8E-8F41-D143A3BA23AA}" name="Type"/>
    <tableColumn id="2" xr3:uid="{B6D08DEA-75CC-4971-8B6F-9771C1306BC4}" name="Width" dataDxfId="68"/>
    <tableColumn id="3" xr3:uid="{78B64748-1FA2-44D2-B86E-2E55AAB66E00}" name="LH"/>
    <tableColumn id="4" xr3:uid="{91A98E44-1950-424F-9C96-3172FC0EFF9D}" name="RH"/>
    <tableColumn id="5" xr3:uid="{4DF6F0AF-4F19-4995-A15D-6431C30FFBB7}" name="Total" dataDxfId="67">
      <calculatedColumnFormula>Table1116[[#This Row],[RH]]+Table1116[[#This Row],[LH]]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766478B-7F46-48C5-95DC-E9C361013C52}" name="Table16" displayName="Table16" ref="Y3:Z19" totalsRowShown="0">
  <autoFilter ref="Y3:Z19" xr:uid="{2766478B-7F46-48C5-95DC-E9C361013C52}"/>
  <tableColumns count="2">
    <tableColumn id="1" xr3:uid="{1CC778D9-1E7D-4DF0-9FE7-E1C2470DEDF4}" name="Size"/>
    <tableColumn id="2" xr3:uid="{FD16C19A-0DF5-44C9-A1DE-9958A6B51076}" name="Name">
      <calculatedColumnFormula>INT(Y4/12)&amp;"' "&amp;MOD(Y4,12)&amp;""""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D4EED48-D050-41C4-9FD7-60B8EB97027D}" name="Table18" displayName="Table18" ref="AB3:AH99" totalsRowShown="0">
  <autoFilter ref="AB3:AH99" xr:uid="{DD4EED48-D050-41C4-9FD7-60B8EB97027D}"/>
  <tableColumns count="7">
    <tableColumn id="1" xr3:uid="{3F9F55C1-AD26-4173-ACEB-977E6960BCB7}" name="Line Number" dataDxfId="66">
      <calculatedColumnFormula>IF(Table18[[#This Row],[total]]=0,"",(MAX($AB$3:$AB3)+1))</calculatedColumnFormula>
    </tableColumn>
    <tableColumn id="2" xr3:uid="{F4169D33-B9CA-463F-9F1D-D67EF94DEB21}" name="Type"/>
    <tableColumn id="3" xr3:uid="{9D4FFFB4-993D-48D8-AB80-4F2DA1672C9C}" name="Width"/>
    <tableColumn id="4" xr3:uid="{6B5FF6C1-C78E-4797-B40A-4BBD3F9A0EE8}" name="Height"/>
    <tableColumn id="5" xr3:uid="{359FB45F-E593-4354-872E-EECD11875F52}" name="LH" dataDxfId="65">
      <calculatedColumnFormula>Table11[[#This Row],[LH]]</calculatedColumnFormula>
    </tableColumn>
    <tableColumn id="6" xr3:uid="{FF6D3F14-6F42-4CAA-BA0D-6DF717B2B49E}" name="RH" dataDxfId="64">
      <calculatedColumnFormula>Table11[[#This Row],[RH]]</calculatedColumnFormula>
    </tableColumn>
    <tableColumn id="7" xr3:uid="{484BFE35-EC2D-4262-9656-6100C4E6F260}" name="total" dataDxfId="63">
      <calculatedColumnFormula>Table18[[#This Row],[RH]]+Table18[[#This Row],[LH]]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A562C1-9C2A-4F66-A714-AC9AD3E9CA21}" name="TRIM" displayName="TRIM" ref="A14:Y41" totalsRowShown="0" headerRowDxfId="62" dataDxfId="61" dataCellStyle="Currency">
  <autoFilter ref="A14:Y41" xr:uid="{22A562C1-9C2A-4F66-A714-AC9AD3E9CA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23" xr3:uid="{3918CD0E-7B9C-4362-A3AF-E2613EA5A4E2}" name="line number" dataDxfId="60" dataCellStyle="Currency">
      <calculatedColumnFormula>IF(TRIM[[#This Row],[Species]]=0,"",IF(TRIM[[#This Row],[Lin.Ft.]]&gt;1,(MAX($A$14:$A14)+1),""))</calculatedColumnFormula>
    </tableColumn>
    <tableColumn id="1" xr3:uid="{C7F19E03-7369-4000-8937-7B32D29884CF}" name="Species" dataDxfId="59"/>
    <tableColumn id="25" xr3:uid="{03E428C6-0622-4B3C-832A-4D0F9D44CC7D}" name="Finish Size" dataDxfId="58">
      <calculatedColumnFormula>IF(TRIM[[#This Row],[Width]]&gt;5.25,"LARGE",IF(TRIM[[#This Row],[Width]]&gt;3,"AVG",IF(TRIM[[#This Row],[Width]]="","","SMALL")))</calculatedColumnFormula>
    </tableColumn>
    <tableColumn id="22" xr3:uid="{44D3CD9C-EAA2-4D63-8CBE-DA40338A7536}" name="Finish" dataDxfId="57">
      <calculatedColumnFormula>IF(TRIM[[#This Row],[Species]]="","",IF(TRIM[[#This Row],[Species]]="POPLAR","PRIMED",IF(TRIM[[#This Row],[Species]]="MDF","PRIMED","STAINED")))</calculatedColumnFormula>
    </tableColumn>
    <tableColumn id="26" xr3:uid="{E128B2D3-F12C-4407-9D16-451C8361FA11}" name="FINISH HELP" dataDxfId="56">
      <calculatedColumnFormula>TRIM[[#This Row],[Finish]]&amp;" "&amp;TRIM[[#This Row],[Finish Size]]</calculatedColumnFormula>
    </tableColumn>
    <tableColumn id="21" xr3:uid="{BE3BA1C3-8D02-47FC-A5B0-F70F90AFD117}" name="Type" dataDxfId="55"/>
    <tableColumn id="24" xr3:uid="{FFE55B49-42C3-42E3-90AA-03783EFCA0D7}" name="NAME TYPE" dataDxfId="54">
      <calculatedColumnFormula>'Trim Take Off'!$C$16&amp;" "&amp;TRIM[[#This Row],[Type]]</calculatedColumnFormula>
    </tableColumn>
    <tableColumn id="2" xr3:uid="{5BD928F6-C3C3-4BA2-BDCA-55559B5F2305}" name="Description" dataDxfId="53">
      <calculatedColumnFormula>IFERROR(TRIM[[#This Row],[Species]]&amp;" "&amp;TRIM[[#This Row],[Finish]]&amp;" "&amp;TRIM[[#This Row],[Type]]&amp;" "&amp;TRIM[[#This Row],[Width]]&amp;" x "&amp;TRIM[[#This Row],[Thickness]],"")</calculatedColumnFormula>
    </tableColumn>
    <tableColumn id="3" xr3:uid="{9E1B1287-7A55-49FF-8EF2-F2DD6B4E5D5D}" name="Width" dataDxfId="52">
      <calculatedColumnFormula>IFERROR(INDEX(Table5[ACTUAL WIDTH],MATCH(TRIM[[#This Row],[NAME TYPE]],Table5[DESCRIPTION],0)),)</calculatedColumnFormula>
    </tableColumn>
    <tableColumn id="5" xr3:uid="{20E03638-D37E-49EA-A136-04B698C87F67}" name="Thickness" dataDxfId="51">
      <calculatedColumnFormula>IFERROR(INDEX(Table5[ACTUAL THICKNESS],MATCH(TRIM[[#This Row],[NAME TYPE]],Table5[DESCRIPTION],0)),"")</calculatedColumnFormula>
    </tableColumn>
    <tableColumn id="4" xr3:uid="{98EA449A-AC62-41D1-8E62-432081124BB9}" name="Rough Thick" dataDxfId="50">
      <calculatedColumnFormula>INDEX(lumber[Rough],MATCH(TRIM[[#This Row],[Thickness]],lumber[Finish],1))</calculatedColumnFormula>
    </tableColumn>
    <tableColumn id="6" xr3:uid="{015A25E6-B92E-44E8-9831-B413C9EBB267}" name="Lin.Ft." dataDxfId="49">
      <calculatedColumnFormula>IFERROR(INDEX(Table5[LF],MATCH(TRIM[[#This Row],[NAME TYPE]],Table5[DESCRIPTION],0)),0)</calculatedColumnFormula>
    </tableColumn>
    <tableColumn id="7" xr3:uid="{73A8EEB8-D31C-4ACE-B214-DC034BD21AEC}" name="Factor" dataDxfId="48">
      <calculatedColumnFormula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calculatedColumnFormula>
    </tableColumn>
    <tableColumn id="8" xr3:uid="{2812A1BF-04AD-4955-B5C4-A030A291CC73}" name="Cost/BF" dataDxfId="47">
      <calculatedColumnFormula>IF(TRIM[[#This Row],[Width]]&gt;6,INDEX(Table10[1 sorted],MATCH(TRIM[[#This Row],[Species]],Table10[Species],0)),INDEX(Table10[1],MATCH(TRIM[[#This Row],[Species]],Table10[Species],0)))</calculatedColumnFormula>
    </tableColumn>
    <tableColumn id="9" xr3:uid="{A48BC37D-5726-44C5-A711-D6D940BE491A}" name="BF" dataDxfId="46">
      <calculatedColumnFormula>TRIM[[#This Row],[Factor]]*TRIM[[#This Row],[Lin.Ft.]]</calculatedColumnFormula>
    </tableColumn>
    <tableColumn id="10" xr3:uid="{483A7315-0174-4C13-BB7A-3B22A79B3CA6}" name="Total Cost" dataDxfId="45" dataCellStyle="Currency">
      <calculatedColumnFormula>TRIM[[#This Row],[BF]]*TRIM[[#This Row],[Cost/BF]]</calculatedColumnFormula>
    </tableColumn>
    <tableColumn id="11" xr3:uid="{AFB26E5A-FCEB-4D02-B0CD-417070F01DC6}" name="Material Mark Up" dataDxfId="44" dataCellStyle="Currency">
      <calculatedColumnFormula>IF(TRIM[[#This Row],[BF]]="","",P15*I$3)</calculatedColumnFormula>
    </tableColumn>
    <tableColumn id="12" xr3:uid="{836D0044-B242-45A8-82D3-9046F2CC052D}" name="Set-up" dataDxfId="43" dataCellStyle="Currency">
      <calculatedColumnFormula>$I$4</calculatedColumnFormula>
    </tableColumn>
    <tableColumn id="13" xr3:uid="{F45BFF61-A56A-43F6-8371-C0881E550D8F}" name="LF Add" dataDxfId="42" dataCellStyle="Currency">
      <calculatedColumnFormula>TRIM[[#This Row],[Lin.Ft.]]*$I$5</calculatedColumnFormula>
    </tableColumn>
    <tableColumn id="17" xr3:uid="{F0EB4FB0-160F-4EEF-9A27-C0104B5BCDD8}" name="Knife Grind" dataDxfId="41" dataCellStyle="Currency">
      <calculatedColumnFormula>IF('Trim Take Off'!$C$17="custom",(TRIM[[#This Row],[Width]]+0.25)*$I$6,0)</calculatedColumnFormula>
    </tableColumn>
    <tableColumn id="14" xr3:uid="{1E9F3AB7-B076-4B2D-BD4E-2FDF38665827}" name="Total Raw" dataDxfId="40" dataCellStyle="Currency">
      <calculatedColumnFormula>IFERROR(TRIM[[#This Row],[LF Add]]+TRIM[[#This Row],[Material Mark Up]]+TRIM[[#This Row],[Total Cost]],0)</calculatedColumnFormula>
    </tableColumn>
    <tableColumn id="15" xr3:uid="{B5BF7DD3-B489-4AD5-9073-0DE5C90F7152}" name="cost/L.F." dataDxfId="39" dataCellStyle="Currency">
      <calculatedColumnFormula>IFERROR(TRIM[[#This Row],[Total Raw]]/TRIM[[#This Row],[Lin.Ft.]],"")</calculatedColumnFormula>
    </tableColumn>
    <tableColumn id="18" xr3:uid="{3466EEFD-C721-4E63-B547-D7B45199E0DD}" name="LF Finish Add" dataDxfId="38" dataCellStyle="Currency">
      <calculatedColumnFormula>INDEX(finish[Rate],MATCH(TRIM[[#This Row],[FINISH HELP]],finish[Finish],0))</calculatedColumnFormula>
    </tableColumn>
    <tableColumn id="16" xr3:uid="{AA79C5BF-9240-468B-BE22-5CA5F0134500}" name="Sell/LF Margin" dataDxfId="37" dataCellStyle="Currency">
      <calculatedColumnFormula>IFERROR((TRIM[[#This Row],[cost/L.F.]]*(1+$I$7)),"")</calculatedColumnFormula>
    </tableColumn>
    <tableColumn id="20" xr3:uid="{ADA21289-A4EF-49DC-8184-F3823FEF6A14}" name="Set Up Total" dataDxfId="36" dataCellStyle="Currency">
      <calculatedColumnFormula>IFERROR(TRIM[[#This Row],[Knife Grind]]+TRIM[[#This Row],[Set-up]],"")</calculatedColumnFormula>
    </tableColumn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153A18-5EF6-464B-8D60-12B5FF2CDC13}" name="InvoiceDetails713" displayName="InvoiceDetails713" ref="B6:H31" totalsRowShown="0" headerRowDxfId="35" dataDxfId="33" totalsRowDxfId="32" headerRowBorderDxfId="34">
  <autoFilter ref="B6:H31" xr:uid="{A33460C7-491D-4B4B-AB63-14A3F304CA56}"/>
  <tableColumns count="7">
    <tableColumn id="7" xr3:uid="{48B14B89-F64E-4A2E-84F5-2A9BFF0F3BA4}" name="Line Number" dataDxfId="31" totalsRowDxfId="30" dataCellStyle="Currency"/>
    <tableColumn id="1" xr3:uid="{99C5F6FC-AB67-49BE-9384-07B3A7510E48}" name="Qty" dataDxfId="29" totalsRowDxfId="28">
      <calculatedColumnFormula>INDEX(Table17[Total],MATCH(InvoiceDetails713[[#This Row],[Line Number]],Table17[Line Number],0))</calculatedColumnFormula>
    </tableColumn>
    <tableColumn id="2" xr3:uid="{60DF2E45-21BB-467A-8B12-FE4C6A7C2127}" name="Description" dataDxfId="27">
      <calculatedColumnFormula>INDEX(Table17[Door Name],MATCH(InvoiceDetails713[[#This Row],[Line Number]],Table17[Line Number],0))</calculatedColumnFormula>
    </tableColumn>
    <tableColumn id="3" xr3:uid="{A3E9F70A-8253-42A2-AD78-1D5610523C0D}" name="Unit Price" dataDxfId="26" totalsRowDxfId="25" dataCellStyle="Currency">
      <calculatedColumnFormula>INDEX(Table17[Door Price],MATCH(InvoiceDetails713[[#This Row],[Line Number]],Table17[Line Number],0))</calculatedColumnFormula>
    </tableColumn>
    <tableColumn id="5" xr3:uid="{D482F43A-E5C3-436F-BE18-A96B212914E6}" name="Set Up" dataDxfId="24" totalsRowDxfId="23" dataCellStyle="Currency"/>
    <tableColumn id="6" xr3:uid="{B5A7ED03-64CE-423A-ACD4-6CC88DC8C43D}" name="Unit Finish Price" dataDxfId="22" totalsRowDxfId="21" dataCellStyle="Currency">
      <calculatedColumnFormula>INDEX(Table17[Finish Price],MATCH(InvoiceDetails713[[#This Row],[Line Number]],Table17[Line Number],0))</calculatedColumnFormula>
    </tableColumn>
    <tableColumn id="4" xr3:uid="{0B9D998E-C1F4-49CB-BA2F-D4BBAA26A92F}" name="Line Total" dataDxfId="20" totalsRowDxfId="19" dataCellStyle="Currency">
      <calculatedColumnFormula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calculatedColumnFormula>
    </tableColumn>
  </tableColumns>
  <tableStyleInfo name="TableStyleMedium17" showFirstColumn="0" showLastColumn="0" showRowStripes="0" showColumnStripes="0"/>
  <extLst>
    <ext xmlns:x14="http://schemas.microsoft.com/office/spreadsheetml/2009/9/main" uri="{504A1905-F514-4f6f-8877-14C23A59335A}">
      <x14:table altTextSummary="Enter Quantity, Description, and Unit Price in this table. Line Total and Subtotal are auto calculated. Enter Sales Tax amount to calculate the Total at the en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7AAE59-8F74-40F6-950B-726E9CB519CD}" name="InvoiceDetails7" displayName="InvoiceDetails7" ref="B6:H31" totalsRowShown="0" headerRowDxfId="18" dataDxfId="16" totalsRowDxfId="15" headerRowBorderDxfId="17">
  <autoFilter ref="B6:H31" xr:uid="{A33460C7-491D-4B4B-AB63-14A3F304CA56}"/>
  <tableColumns count="7">
    <tableColumn id="7" xr3:uid="{23455DBD-B76A-4779-990E-3050D14ED715}" name="Line Number" dataDxfId="14" totalsRowDxfId="13" dataCellStyle="Currency"/>
    <tableColumn id="1" xr3:uid="{71AAE47C-79FA-48D5-A2D2-9AB07D220022}" name="Qty LF" dataDxfId="12" totalsRowDxfId="11">
      <calculatedColumnFormula>IFERROR(INDEX(TRIM[Lin.Ft.],MATCH(InvoiceDetails7[[#This Row],[Description]],TRIM[Description],0)),"")</calculatedColumnFormula>
    </tableColumn>
    <tableColumn id="2" xr3:uid="{9DA72513-4963-4778-8C64-959121C65666}" name="Description" dataDxfId="10" totalsRowDxfId="9">
      <calculatedColumnFormula>IFERROR(INDEX(TRIM[Description],MATCH(InvoiceDetails7[[#This Row],[Line Number]],TRIM[line number],0)),"")</calculatedColumnFormula>
    </tableColumn>
    <tableColumn id="3" xr3:uid="{FC3DAB62-3D03-41B0-B909-DC3F955E1263}" name="LF Price" dataDxfId="8" totalsRowDxfId="7" dataCellStyle="Currency">
      <calculatedColumnFormula>IFERROR(INDEX(TRIM[Sell/LF Margin],MATCH(InvoiceDetails7[[#This Row],[Description]],TRIM[Description],0)),"")</calculatedColumnFormula>
    </tableColumn>
    <tableColumn id="5" xr3:uid="{976C1E43-2778-49A6-8882-49D484D61969}" name="Set Up" dataDxfId="6" totalsRowDxfId="5" dataCellStyle="Currency">
      <calculatedColumnFormula>IFERROR(INDEX(TRIM[Set Up Total],MATCH(InvoiceDetails7[[#This Row],[Description]],TRIM[Description],0)),"")</calculatedColumnFormula>
    </tableColumn>
    <tableColumn id="6" xr3:uid="{5D53A64C-D9FB-48DD-8E74-EE54E4C59766}" name="Finish LF Price" dataDxfId="4" totalsRowDxfId="3" dataCellStyle="Currency">
      <calculatedColumnFormula>IFERROR(INDEX(TRIM[LF Finish Add],MATCH(InvoiceDetails7[[#This Row],[Description]],TRIM[Description],0)),"")</calculatedColumnFormula>
    </tableColumn>
    <tableColumn id="4" xr3:uid="{49A36C53-048F-4CF7-8CF0-918B5EF0CDBA}" name="Line Total" dataDxfId="2" totalsRowDxfId="1" dataCellStyle="Currency">
      <calculatedColumnFormula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calculatedColumnFormula>
    </tableColumn>
  </tableColumns>
  <tableStyleInfo name="TableStyleMedium17" showFirstColumn="0" showLastColumn="0" showRowStripes="0" showColumnStripes="0"/>
  <extLst>
    <ext xmlns:x14="http://schemas.microsoft.com/office/spreadsheetml/2009/9/main" uri="{504A1905-F514-4f6f-8877-14C23A59335A}">
      <x14:table altTextSummary="Enter Quantity, Description, and Unit Price in this table. Line Total and Subtotal are auto calculated. Enter Sales Tax amount to calculate the Total at the en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4E57924-996F-4B1F-802A-61971EF273D9}" name="Table10" displayName="Table10" ref="C2:K26" totalsRowShown="0">
  <autoFilter ref="C2:K26" xr:uid="{54E57924-996F-4B1F-802A-61971EF273D9}"/>
  <tableColumns count="9">
    <tableColumn id="1" xr3:uid="{F06910DC-F629-418E-8A6A-6FE58C6A80FB}" name="Species"/>
    <tableColumn id="2" xr3:uid="{374F60B7-66C2-4651-9B8F-FDB8320D8A31}" name="1"/>
    <tableColumn id="3" xr3:uid="{4262596A-DF75-43AE-AB86-EF937CA87AA5}" name="1.25"/>
    <tableColumn id="4" xr3:uid="{2E7A32A4-5F9E-4687-98FD-E6E69B280352}" name="1.5"/>
    <tableColumn id="5" xr3:uid="{414056D6-2453-4189-A606-116E83347CD0}" name="2"/>
    <tableColumn id="6" xr3:uid="{A676524A-156E-4E79-A5C6-0511CE96A3C2}" name="1 sorted"/>
    <tableColumn id="7" xr3:uid="{88CE7FD0-F3E1-4E6A-A0B8-F69DE11D14C3}" name="1.25 sorted"/>
    <tableColumn id="8" xr3:uid="{97D76091-A74D-42B0-9678-2F60BD29FCAA}" name="1.5 sorted"/>
    <tableColumn id="9" xr3:uid="{FDC084F2-BB0D-4F1C-AB63-11478A88DE86}" name="2 sorte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316B0-2BC5-433F-91F7-DCFE5E7B7E3E}" name="Table1" displayName="Table1" ref="D4:H50" totalsRowShown="0">
  <autoFilter ref="D4:H50" xr:uid="{3D2316B0-2BC5-433F-91F7-DCFE5E7B7E3E}"/>
  <tableColumns count="5">
    <tableColumn id="1" xr3:uid="{8BEC6687-2FE2-40A5-ADC7-9909131E1062}" name="RIP SIZE" dataDxfId="0"/>
    <tableColumn id="2" xr3:uid="{854F6971-5C3D-4819-B73D-EABFFE3C4692}" name="4/4">
      <calculatedColumnFormula>K5*(1+$E$2)</calculatedColumnFormula>
    </tableColumn>
    <tableColumn id="3" xr3:uid="{F1D26B3E-3746-4C79-AB3C-2B1CBC0198A1}" name="5/4">
      <calculatedColumnFormula>L5*(1+$E$2)</calculatedColumnFormula>
    </tableColumn>
    <tableColumn id="4" xr3:uid="{52E26530-83AF-4E38-9869-AB3B55743953}" name="6/4">
      <calculatedColumnFormula>M5*(1+$E$2)</calculatedColumnFormula>
    </tableColumn>
    <tableColumn id="5" xr3:uid="{F20129F1-B14C-499E-85E0-498891DEFB7A}" name="8/4">
      <calculatedColumnFormula>N5*(1+$E$2)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44E32F-CDE0-4918-89AA-8B1840C7CF2C}" name="lumber" displayName="lumber" ref="R4:S9" totalsRowShown="0">
  <autoFilter ref="R4:S9" xr:uid="{D844E32F-CDE0-4918-89AA-8B1840C7CF2C}"/>
  <tableColumns count="2">
    <tableColumn id="1" xr3:uid="{4EF9BFB9-1A55-446C-80BF-903E320B4662}" name="Finish"/>
    <tableColumn id="2" xr3:uid="{C97419B3-BF1F-4645-B5D2-FF315C071FDC}" name="Rough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DA0CD3-1880-4A36-B988-B750345CCF18}" name="finish" displayName="finish" ref="U4:W11" totalsRowShown="0">
  <autoFilter ref="U4:W11" xr:uid="{B7DA0CD3-1880-4A36-B988-B750345CCF18}"/>
  <tableColumns count="3">
    <tableColumn id="1" xr3:uid="{4843F887-7FB6-4D4E-8EE4-757B8B083032}" name="Finish"/>
    <tableColumn id="2" xr3:uid="{7DBC4A71-CB82-4E40-A7E5-F6B6C7ADD720}" name="Rate" dataCellStyle="Currency"/>
    <tableColumn id="3" xr3:uid="{B8C6901F-BA14-4ECD-9E7B-F3155705677E}" name="Help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431432-DE93-41EF-8DA6-A3860E5DC327}" name="Table4" displayName="Table4" ref="Y4:Y12" totalsRowShown="0">
  <autoFilter ref="Y4:Y12" xr:uid="{0D431432-DE93-41EF-8DA6-A3860E5DC327}"/>
  <tableColumns count="1">
    <tableColumn id="1" xr3:uid="{397A5F80-871E-4DCB-9E41-57EDE66FE15C}" name="Typ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3B0C76-7E1D-417B-948D-8BB04B800D7C}" name="Table9" displayName="Table9" ref="AA3:AE9" totalsRowShown="0">
  <autoFilter ref="AA3:AE9" xr:uid="{693B0C76-7E1D-417B-948D-8BB04B800D7C}"/>
  <tableColumns count="5">
    <tableColumn id="1" xr3:uid="{7E04E385-EDB0-489F-BC9D-C7EC20252B03}" name="DOOR HEIGHT"/>
    <tableColumn id="2" xr3:uid="{F4602B61-9C0A-4DA3-88F7-1833F5A18581}" name="YN"/>
    <tableColumn id="3" xr3:uid="{92CF5383-C4B5-4011-8453-ECEC4E79634F}" name="FINISH LEVEL"/>
    <tableColumn id="4" xr3:uid="{D1075631-685C-4075-BD0A-EB807D34CE58}" name="STYLE"/>
    <tableColumn id="5" xr3:uid="{DCB46154-4619-424D-9A63-2E75289AD54B}" name="PRO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423E-8CDF-4F77-9B10-47FD6828615B}">
  <dimension ref="A1:P45"/>
  <sheetViews>
    <sheetView topLeftCell="A6" zoomScaleNormal="100" workbookViewId="0">
      <selection activeCell="E27" sqref="E27:F27"/>
    </sheetView>
  </sheetViews>
  <sheetFormatPr defaultRowHeight="15" x14ac:dyDescent="0.25"/>
  <cols>
    <col min="1" max="1" width="18.85546875" bestFit="1" customWidth="1"/>
    <col min="2" max="2" width="37.5703125" bestFit="1" customWidth="1"/>
    <col min="3" max="3" width="16.85546875" bestFit="1" customWidth="1"/>
    <col min="4" max="4" width="33.42578125" hidden="1" customWidth="1"/>
    <col min="5" max="5" width="17.85546875" style="77" bestFit="1" customWidth="1"/>
    <col min="6" max="6" width="21.42578125" style="77" bestFit="1" customWidth="1"/>
    <col min="7" max="7" width="19.42578125" style="77" customWidth="1"/>
    <col min="8" max="8" width="22.85546875" style="77" customWidth="1"/>
    <col min="9" max="9" width="19.140625" style="77" customWidth="1"/>
    <col min="10" max="10" width="22.5703125" style="77" customWidth="1"/>
    <col min="11" max="11" width="18.42578125" style="77" customWidth="1"/>
    <col min="12" max="12" width="23.140625" style="77" customWidth="1"/>
    <col min="13" max="13" width="14.85546875" style="77" customWidth="1"/>
    <col min="14" max="14" width="20.5703125" style="77" customWidth="1"/>
    <col min="15" max="15" width="2.42578125" style="77" customWidth="1"/>
    <col min="16" max="16" width="91.42578125" customWidth="1"/>
  </cols>
  <sheetData>
    <row r="1" spans="2:16" ht="15.75" thickBot="1" x14ac:dyDescent="0.3"/>
    <row r="2" spans="2:16" x14ac:dyDescent="0.25">
      <c r="B2" s="110" t="s">
        <v>19</v>
      </c>
      <c r="C2" s="58" t="s">
        <v>113</v>
      </c>
    </row>
    <row r="3" spans="2:16" ht="15.75" thickBot="1" x14ac:dyDescent="0.3">
      <c r="B3" s="111" t="s">
        <v>34</v>
      </c>
      <c r="C3" s="109" t="s">
        <v>114</v>
      </c>
    </row>
    <row r="4" spans="2:16" x14ac:dyDescent="0.25">
      <c r="B4" s="135"/>
      <c r="C4" s="69"/>
    </row>
    <row r="5" spans="2:16" ht="19.5" thickBot="1" x14ac:dyDescent="0.35">
      <c r="B5" s="139" t="s">
        <v>173</v>
      </c>
      <c r="C5" s="140"/>
    </row>
    <row r="6" spans="2:16" x14ac:dyDescent="0.25">
      <c r="B6" s="70" t="s">
        <v>90</v>
      </c>
      <c r="C6" s="71" t="s">
        <v>89</v>
      </c>
      <c r="P6" t="s">
        <v>172</v>
      </c>
    </row>
    <row r="7" spans="2:16" x14ac:dyDescent="0.25">
      <c r="B7" s="72" t="s">
        <v>63</v>
      </c>
      <c r="C7" s="73">
        <v>150</v>
      </c>
      <c r="P7" t="s">
        <v>164</v>
      </c>
    </row>
    <row r="8" spans="2:16" x14ac:dyDescent="0.25">
      <c r="B8" s="72" t="s">
        <v>64</v>
      </c>
      <c r="C8" s="73">
        <v>100</v>
      </c>
      <c r="P8" t="s">
        <v>165</v>
      </c>
    </row>
    <row r="9" spans="2:16" x14ac:dyDescent="0.25">
      <c r="B9" s="72" t="s">
        <v>65</v>
      </c>
      <c r="C9" s="73">
        <v>3</v>
      </c>
      <c r="P9" t="s">
        <v>166</v>
      </c>
    </row>
    <row r="10" spans="2:16" x14ac:dyDescent="0.25">
      <c r="B10" s="72" t="s">
        <v>68</v>
      </c>
      <c r="C10" s="73">
        <v>3</v>
      </c>
      <c r="P10" t="s">
        <v>167</v>
      </c>
    </row>
    <row r="11" spans="2:16" x14ac:dyDescent="0.25">
      <c r="B11" s="72" t="s">
        <v>69</v>
      </c>
      <c r="C11" s="73">
        <v>15</v>
      </c>
      <c r="P11" t="s">
        <v>170</v>
      </c>
    </row>
    <row r="12" spans="2:16" x14ac:dyDescent="0.25">
      <c r="B12" s="72" t="s">
        <v>66</v>
      </c>
      <c r="C12" s="73">
        <v>15</v>
      </c>
      <c r="P12" t="s">
        <v>171</v>
      </c>
    </row>
    <row r="13" spans="2:16" x14ac:dyDescent="0.25">
      <c r="B13" s="72" t="s">
        <v>67</v>
      </c>
      <c r="C13" s="73">
        <v>2</v>
      </c>
      <c r="P13" t="s">
        <v>168</v>
      </c>
    </row>
    <row r="14" spans="2:16" ht="15.75" thickBot="1" x14ac:dyDescent="0.3">
      <c r="B14" s="74" t="s">
        <v>95</v>
      </c>
      <c r="C14" s="75">
        <v>1</v>
      </c>
      <c r="P14" t="s">
        <v>169</v>
      </c>
    </row>
    <row r="15" spans="2:16" x14ac:dyDescent="0.25">
      <c r="B15" s="70" t="s">
        <v>91</v>
      </c>
      <c r="C15" s="71">
        <v>80</v>
      </c>
      <c r="P15" t="s">
        <v>174</v>
      </c>
    </row>
    <row r="16" spans="2:16" x14ac:dyDescent="0.25">
      <c r="B16" s="72" t="s">
        <v>83</v>
      </c>
      <c r="C16" s="73" t="s">
        <v>78</v>
      </c>
      <c r="P16" t="s">
        <v>175</v>
      </c>
    </row>
    <row r="17" spans="1:16" x14ac:dyDescent="0.25">
      <c r="B17" s="72" t="s">
        <v>110</v>
      </c>
      <c r="C17" s="73" t="s">
        <v>103</v>
      </c>
      <c r="P17" t="s">
        <v>176</v>
      </c>
    </row>
    <row r="18" spans="1:16" x14ac:dyDescent="0.25">
      <c r="B18" s="72" t="s">
        <v>162</v>
      </c>
      <c r="C18" s="73" t="s">
        <v>94</v>
      </c>
      <c r="P18" t="s">
        <v>177</v>
      </c>
    </row>
    <row r="19" spans="1:16" x14ac:dyDescent="0.25">
      <c r="B19" s="72" t="s">
        <v>163</v>
      </c>
      <c r="C19" s="73" t="s">
        <v>94</v>
      </c>
      <c r="P19" t="s">
        <v>178</v>
      </c>
    </row>
    <row r="20" spans="1:16" x14ac:dyDescent="0.25">
      <c r="B20" s="72" t="s">
        <v>158</v>
      </c>
      <c r="C20" s="73" t="s">
        <v>134</v>
      </c>
      <c r="P20" t="s">
        <v>179</v>
      </c>
    </row>
    <row r="21" spans="1:16" x14ac:dyDescent="0.25">
      <c r="B21" s="72" t="s">
        <v>159</v>
      </c>
      <c r="C21" s="73"/>
      <c r="P21" t="s">
        <v>180</v>
      </c>
    </row>
    <row r="22" spans="1:16" x14ac:dyDescent="0.25">
      <c r="B22" s="72" t="s">
        <v>160</v>
      </c>
      <c r="C22" s="73"/>
    </row>
    <row r="23" spans="1:16" ht="15.75" thickBot="1" x14ac:dyDescent="0.3">
      <c r="B23" s="74" t="s">
        <v>96</v>
      </c>
      <c r="C23" s="75" t="s">
        <v>98</v>
      </c>
      <c r="P23" t="s">
        <v>181</v>
      </c>
    </row>
    <row r="24" spans="1:16" x14ac:dyDescent="0.25">
      <c r="P24" t="s">
        <v>182</v>
      </c>
    </row>
    <row r="26" spans="1:16" x14ac:dyDescent="0.25">
      <c r="A26" t="s">
        <v>83</v>
      </c>
      <c r="B26" t="s">
        <v>84</v>
      </c>
      <c r="C26" t="s">
        <v>89</v>
      </c>
      <c r="D26" t="s">
        <v>79</v>
      </c>
      <c r="E26" s="77" t="s">
        <v>101</v>
      </c>
      <c r="F26" s="77" t="s">
        <v>102</v>
      </c>
      <c r="G26" s="77" t="s">
        <v>80</v>
      </c>
      <c r="H26" s="77" t="s">
        <v>81</v>
      </c>
      <c r="I26" s="77" t="s">
        <v>85</v>
      </c>
      <c r="J26" s="77" t="s">
        <v>86</v>
      </c>
      <c r="K26" s="77" t="s">
        <v>87</v>
      </c>
      <c r="L26" s="77" t="s">
        <v>88</v>
      </c>
      <c r="M26" s="77" t="s">
        <v>104</v>
      </c>
      <c r="N26" s="77" t="s">
        <v>105</v>
      </c>
    </row>
    <row r="27" spans="1:16" x14ac:dyDescent="0.25">
      <c r="A27" t="s">
        <v>78</v>
      </c>
      <c r="B27" t="s">
        <v>70</v>
      </c>
      <c r="C27">
        <f>$C$7+$C$8*2</f>
        <v>350</v>
      </c>
      <c r="D27" t="str">
        <f>Table5[[#This Row],[STYLE]]&amp;" "&amp;Table5[[#This Row],[PART]]</f>
        <v>CRAFTSMAN BASE</v>
      </c>
      <c r="G27" s="77">
        <v>5.25</v>
      </c>
      <c r="H27" s="77">
        <v>0.5</v>
      </c>
      <c r="I27" s="77">
        <v>2.25</v>
      </c>
      <c r="J27" s="77">
        <v>0.5</v>
      </c>
      <c r="K27" s="77">
        <v>7</v>
      </c>
      <c r="L27" s="77">
        <v>0.75</v>
      </c>
      <c r="M27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5.25</v>
      </c>
      <c r="N27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0.5</v>
      </c>
      <c r="P27" t="s">
        <v>183</v>
      </c>
    </row>
    <row r="28" spans="1:16" x14ac:dyDescent="0.25">
      <c r="A28" t="s">
        <v>78</v>
      </c>
      <c r="B28" t="s">
        <v>71</v>
      </c>
      <c r="C28">
        <f>(2*$C$9*(ROUNDUP($C$15/12,0)))+(4*$C$12*(ROUNDUP($C$15/12,0)))+(IF($C$19="yes",0,(ROUNDUP($C$15/12,0))*2*($C$13+$C$14+$C$11)))</f>
        <v>714</v>
      </c>
      <c r="D28" t="str">
        <f>Table5[[#This Row],[STYLE]]&amp;" "&amp;Table5[[#This Row],[PART]]</f>
        <v>CRAFTSMAN CASE</v>
      </c>
      <c r="G28" s="77">
        <v>3.25</v>
      </c>
      <c r="H28" s="77">
        <v>0.625</v>
      </c>
      <c r="I28" s="77">
        <v>3.25</v>
      </c>
      <c r="J28" s="77">
        <v>0.625</v>
      </c>
      <c r="K28" s="77">
        <v>4.25</v>
      </c>
      <c r="L28" s="77">
        <v>1</v>
      </c>
      <c r="M28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3.25</v>
      </c>
      <c r="N28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0.625</v>
      </c>
      <c r="P28" t="s">
        <v>184</v>
      </c>
    </row>
    <row r="29" spans="1:16" x14ac:dyDescent="0.25">
      <c r="A29" t="s">
        <v>78</v>
      </c>
      <c r="B29" t="s">
        <v>72</v>
      </c>
      <c r="C29">
        <f>(ROUNDUP($C$15/12,0)/2)*($C$9+($C$12*2))+(IF(C19="yes",0,($C$10+$C$11+2*($C$13+$C$14))))</f>
        <v>139.5</v>
      </c>
      <c r="D29" t="str">
        <f>Table5[[#This Row],[STYLE]]&amp;" "&amp;Table5[[#This Row],[PART]]</f>
        <v>CRAFTSMAN HEADER</v>
      </c>
      <c r="G29" s="77">
        <v>5.25</v>
      </c>
      <c r="H29" s="77">
        <v>0.875</v>
      </c>
      <c r="I29" s="77">
        <v>4.25</v>
      </c>
      <c r="J29" s="77">
        <v>0.75</v>
      </c>
      <c r="K29" s="77">
        <v>7</v>
      </c>
      <c r="L29" s="77">
        <v>1.125</v>
      </c>
      <c r="M29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5.25</v>
      </c>
      <c r="N29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0.875</v>
      </c>
      <c r="P29" t="s">
        <v>185</v>
      </c>
    </row>
    <row r="30" spans="1:16" x14ac:dyDescent="0.25">
      <c r="A30" t="s">
        <v>78</v>
      </c>
      <c r="B30" t="s">
        <v>73</v>
      </c>
      <c r="C30">
        <f>IF($C$18="yes",0,(ROUNDUP($C$15/12,0))*($C$13+$C$14))</f>
        <v>21</v>
      </c>
      <c r="D30" t="str">
        <f>Table5[[#This Row],[STYLE]]&amp;" "&amp;Table5[[#This Row],[PART]]</f>
        <v>CRAFTSMAN INT JAMB</v>
      </c>
      <c r="G30" s="77">
        <v>4.75</v>
      </c>
      <c r="H30" s="77">
        <v>0.75</v>
      </c>
      <c r="I30" s="77">
        <v>4.75</v>
      </c>
      <c r="J30" s="77">
        <v>0.75</v>
      </c>
      <c r="K30" s="77">
        <v>4.75</v>
      </c>
      <c r="L30" s="77">
        <v>0.75</v>
      </c>
      <c r="M30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4.75</v>
      </c>
      <c r="N30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0.75</v>
      </c>
    </row>
    <row r="31" spans="1:16" x14ac:dyDescent="0.25">
      <c r="A31" t="s">
        <v>78</v>
      </c>
      <c r="B31" t="s">
        <v>74</v>
      </c>
      <c r="C31">
        <f>IF(C18="yes",0,((ROUNDUP(($C$15/12),0)*2)*$C$11+(ROUNDUP($C$15/12,0)*3)*$C$10))</f>
        <v>273</v>
      </c>
      <c r="D31" t="str">
        <f>Table5[[#This Row],[STYLE]]&amp;" "&amp;Table5[[#This Row],[PART]]</f>
        <v>CRAFTSMAN WINDOW JAMB</v>
      </c>
      <c r="G31" s="77">
        <v>6</v>
      </c>
      <c r="H31" s="77">
        <v>0.75</v>
      </c>
      <c r="I31" s="77">
        <v>6</v>
      </c>
      <c r="J31" s="77">
        <v>0.75</v>
      </c>
      <c r="K31" s="77">
        <v>6</v>
      </c>
      <c r="L31" s="77">
        <v>0.75</v>
      </c>
      <c r="M31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6</v>
      </c>
      <c r="N31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0.75</v>
      </c>
    </row>
    <row r="32" spans="1:16" x14ac:dyDescent="0.25">
      <c r="A32" t="s">
        <v>78</v>
      </c>
      <c r="B32" t="s">
        <v>75</v>
      </c>
      <c r="C32">
        <f>C29</f>
        <v>139.5</v>
      </c>
      <c r="D32" t="str">
        <f>Table5[[#This Row],[STYLE]]&amp;" "&amp;Table5[[#This Row],[PART]]</f>
        <v>CRAFTSMAN SILL</v>
      </c>
      <c r="G32" s="77">
        <v>7.25</v>
      </c>
      <c r="H32" s="77">
        <v>0.75</v>
      </c>
      <c r="I32" s="77">
        <v>7.25</v>
      </c>
      <c r="J32" s="77">
        <v>0.75</v>
      </c>
      <c r="K32" s="77">
        <v>7.25</v>
      </c>
      <c r="L32" s="77">
        <v>0.75</v>
      </c>
      <c r="M32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7.25</v>
      </c>
      <c r="N32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0.75</v>
      </c>
    </row>
    <row r="33" spans="1:14" x14ac:dyDescent="0.25">
      <c r="A33" t="s">
        <v>78</v>
      </c>
      <c r="B33" t="s">
        <v>76</v>
      </c>
      <c r="C33">
        <f>C32</f>
        <v>139.5</v>
      </c>
      <c r="D33" t="str">
        <f>Table5[[#This Row],[STYLE]]&amp;" "&amp;Table5[[#This Row],[PART]]</f>
        <v>CRAFTSMAN APRON</v>
      </c>
      <c r="G33" s="77">
        <f>G27</f>
        <v>5.25</v>
      </c>
      <c r="H33" s="77">
        <f>H27</f>
        <v>0.5</v>
      </c>
      <c r="I33" s="77">
        <f t="shared" ref="I33:L33" si="0">I27</f>
        <v>2.25</v>
      </c>
      <c r="J33" s="77">
        <f t="shared" si="0"/>
        <v>0.5</v>
      </c>
      <c r="K33" s="77">
        <f t="shared" si="0"/>
        <v>7</v>
      </c>
      <c r="L33" s="77">
        <f t="shared" si="0"/>
        <v>0.75</v>
      </c>
      <c r="M33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5.25</v>
      </c>
      <c r="N33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0.5</v>
      </c>
    </row>
    <row r="34" spans="1:14" x14ac:dyDescent="0.25">
      <c r="A34" t="s">
        <v>107</v>
      </c>
      <c r="B34" t="s">
        <v>77</v>
      </c>
      <c r="C34">
        <f>C37*2</f>
        <v>279</v>
      </c>
      <c r="D34" t="str">
        <f>Table5[[#This Row],[STYLE]]&amp;" "&amp;Table5[[#This Row],[PART]]</f>
        <v>CRAFTSMAN PLUS DENTIL</v>
      </c>
      <c r="G34" s="77">
        <v>1.5</v>
      </c>
      <c r="H34" s="77">
        <v>0.5</v>
      </c>
      <c r="I34" s="77">
        <v>0</v>
      </c>
      <c r="J34" s="77">
        <v>0</v>
      </c>
      <c r="K34" s="77">
        <v>2</v>
      </c>
      <c r="L34" s="77">
        <v>0.75</v>
      </c>
      <c r="M34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1.5</v>
      </c>
      <c r="N34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0.5</v>
      </c>
    </row>
    <row r="35" spans="1:14" x14ac:dyDescent="0.25">
      <c r="A35" t="s">
        <v>107</v>
      </c>
      <c r="B35" t="s">
        <v>70</v>
      </c>
      <c r="C35">
        <f>$C$7+$C$8*2</f>
        <v>350</v>
      </c>
      <c r="D35" t="str">
        <f>Table5[[#This Row],[STYLE]]&amp;" "&amp;Table5[[#This Row],[PART]]</f>
        <v>CRAFTSMAN PLUS BASE</v>
      </c>
      <c r="G35" s="77">
        <v>5.25</v>
      </c>
      <c r="H35" s="77">
        <v>0.5</v>
      </c>
      <c r="I35" s="77">
        <v>2.25</v>
      </c>
      <c r="J35" s="77">
        <v>0.5</v>
      </c>
      <c r="K35" s="77">
        <v>7</v>
      </c>
      <c r="L35" s="77">
        <v>0.75</v>
      </c>
      <c r="M35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5.25</v>
      </c>
      <c r="N35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0.5</v>
      </c>
    </row>
    <row r="36" spans="1:14" x14ac:dyDescent="0.25">
      <c r="A36" t="s">
        <v>107</v>
      </c>
      <c r="B36" t="s">
        <v>71</v>
      </c>
      <c r="C36">
        <f>(2*$C$9*(ROUNDUP($C$15/12,0)))+(4*$C$12*(ROUNDUP($C$15/12,0)))+(IF($C$19="yes",0,(ROUNDUP($C$15/12,0))*(2*($C$13+$C$14+$C$11))))</f>
        <v>714</v>
      </c>
      <c r="D36" t="str">
        <f>Table5[[#This Row],[STYLE]]&amp;" "&amp;Table5[[#This Row],[PART]]</f>
        <v>CRAFTSMAN PLUS CASE</v>
      </c>
      <c r="G36" s="77">
        <v>3.25</v>
      </c>
      <c r="H36" s="77">
        <v>0.625</v>
      </c>
      <c r="I36" s="77">
        <v>2.25</v>
      </c>
      <c r="J36" s="77">
        <v>0.625</v>
      </c>
      <c r="K36" s="77">
        <v>4.25</v>
      </c>
      <c r="L36" s="77">
        <v>1</v>
      </c>
      <c r="M36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3.25</v>
      </c>
      <c r="N36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0.625</v>
      </c>
    </row>
    <row r="37" spans="1:14" x14ac:dyDescent="0.25">
      <c r="A37" t="s">
        <v>107</v>
      </c>
      <c r="B37" t="s">
        <v>72</v>
      </c>
      <c r="C37">
        <f>(ROUNDUP($C$15/12,0)/2)*($C$9+($C$12*2))+(IF(C32="yes",0,($C$10+$C$11+2*($C$13+$C$14))))</f>
        <v>139.5</v>
      </c>
      <c r="D37" t="str">
        <f>Table5[[#This Row],[STYLE]]&amp;" "&amp;Table5[[#This Row],[PART]]</f>
        <v>CRAFTSMAN PLUS HEADER</v>
      </c>
      <c r="G37" s="77">
        <v>5.25</v>
      </c>
      <c r="H37" s="77">
        <v>0.875</v>
      </c>
      <c r="I37" s="77">
        <v>4.25</v>
      </c>
      <c r="J37" s="77">
        <v>0.75</v>
      </c>
      <c r="K37" s="77">
        <v>7</v>
      </c>
      <c r="L37" s="77">
        <v>1.125</v>
      </c>
      <c r="M37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5.25</v>
      </c>
      <c r="N37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0.875</v>
      </c>
    </row>
    <row r="38" spans="1:14" x14ac:dyDescent="0.25">
      <c r="A38" t="s">
        <v>107</v>
      </c>
      <c r="B38" t="s">
        <v>73</v>
      </c>
      <c r="C38">
        <f>IF($C$18="yes",0,(ROUNDUP($C$15/12,0))*($C$13+$C$14))</f>
        <v>21</v>
      </c>
      <c r="D38" t="str">
        <f>Table5[[#This Row],[STYLE]]&amp;" "&amp;Table5[[#This Row],[PART]]</f>
        <v>CRAFTSMAN PLUS INT JAMB</v>
      </c>
      <c r="G38" s="77">
        <v>4.75</v>
      </c>
      <c r="H38" s="77">
        <v>0.75</v>
      </c>
      <c r="I38" s="77">
        <v>4.75</v>
      </c>
      <c r="J38" s="77">
        <v>0.75</v>
      </c>
      <c r="K38" s="77">
        <v>4.75</v>
      </c>
      <c r="L38" s="77">
        <v>0.75</v>
      </c>
      <c r="M38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4.75</v>
      </c>
      <c r="N38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0.75</v>
      </c>
    </row>
    <row r="39" spans="1:14" x14ac:dyDescent="0.25">
      <c r="A39" t="s">
        <v>107</v>
      </c>
      <c r="B39" t="s">
        <v>74</v>
      </c>
      <c r="C39">
        <f>IF(C31="yes",0,((ROUNDUP(($C$15/12),0)*2)*$C$11+(ROUNDUP($C$15/12,0)*3)*$C$10))</f>
        <v>273</v>
      </c>
      <c r="D39" t="str">
        <f>Table5[[#This Row],[STYLE]]&amp;" "&amp;Table5[[#This Row],[PART]]</f>
        <v>CRAFTSMAN PLUS WINDOW JAMB</v>
      </c>
      <c r="G39" s="77">
        <v>6</v>
      </c>
      <c r="H39" s="77">
        <v>0.75</v>
      </c>
      <c r="I39" s="77">
        <v>6</v>
      </c>
      <c r="J39" s="77">
        <v>0.75</v>
      </c>
      <c r="K39" s="77">
        <v>6</v>
      </c>
      <c r="L39" s="77">
        <v>0.75</v>
      </c>
      <c r="M39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6</v>
      </c>
      <c r="N39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0.75</v>
      </c>
    </row>
    <row r="40" spans="1:14" x14ac:dyDescent="0.25">
      <c r="A40" t="s">
        <v>107</v>
      </c>
      <c r="B40" t="s">
        <v>75</v>
      </c>
      <c r="C40">
        <f>C37</f>
        <v>139.5</v>
      </c>
      <c r="D40" t="str">
        <f>Table5[[#This Row],[STYLE]]&amp;" "&amp;Table5[[#This Row],[PART]]</f>
        <v>CRAFTSMAN PLUS SILL</v>
      </c>
      <c r="G40" s="77">
        <v>7.25</v>
      </c>
      <c r="H40" s="77">
        <v>0.75</v>
      </c>
      <c r="I40" s="77">
        <v>7.25</v>
      </c>
      <c r="J40" s="77">
        <v>0.75</v>
      </c>
      <c r="K40" s="77">
        <v>7.25</v>
      </c>
      <c r="L40" s="77">
        <v>0.75</v>
      </c>
      <c r="M40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7.25</v>
      </c>
      <c r="N40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0.75</v>
      </c>
    </row>
    <row r="41" spans="1:14" x14ac:dyDescent="0.25">
      <c r="A41" t="s">
        <v>107</v>
      </c>
      <c r="B41" t="s">
        <v>76</v>
      </c>
      <c r="C41">
        <f>C37</f>
        <v>139.5</v>
      </c>
      <c r="D41" t="str">
        <f>Table5[[#This Row],[STYLE]]&amp;" "&amp;Table5[[#This Row],[PART]]</f>
        <v>CRAFTSMAN PLUS APRON</v>
      </c>
      <c r="G41" s="77">
        <f>G35</f>
        <v>5.25</v>
      </c>
      <c r="H41" s="77">
        <f>H35</f>
        <v>0.5</v>
      </c>
      <c r="I41" s="77">
        <f t="shared" ref="I41:L41" si="1">I35</f>
        <v>2.25</v>
      </c>
      <c r="J41" s="77">
        <f t="shared" si="1"/>
        <v>0.5</v>
      </c>
      <c r="K41" s="77">
        <f t="shared" si="1"/>
        <v>7</v>
      </c>
      <c r="L41" s="77">
        <f t="shared" si="1"/>
        <v>0.75</v>
      </c>
      <c r="M41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5.25</v>
      </c>
      <c r="N41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0.5</v>
      </c>
    </row>
    <row r="42" spans="1:14" x14ac:dyDescent="0.25">
      <c r="A42" t="s">
        <v>82</v>
      </c>
      <c r="B42" t="s">
        <v>70</v>
      </c>
      <c r="C42">
        <f>$C$7+$C$8*2</f>
        <v>350</v>
      </c>
      <c r="D42" t="str">
        <f>Table5[[#This Row],[STYLE]]&amp;" "&amp;Table5[[#This Row],[PART]]</f>
        <v>MITERED BASE</v>
      </c>
      <c r="G42" s="77">
        <v>5.25</v>
      </c>
      <c r="H42" s="77">
        <v>0.5</v>
      </c>
      <c r="I42" s="77">
        <v>2.25</v>
      </c>
      <c r="J42" s="77">
        <v>0.5</v>
      </c>
      <c r="K42" s="77">
        <v>7</v>
      </c>
      <c r="L42" s="77">
        <v>0.75</v>
      </c>
      <c r="M42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5.25</v>
      </c>
      <c r="N42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0.5</v>
      </c>
    </row>
    <row r="43" spans="1:14" x14ac:dyDescent="0.25">
      <c r="A43" t="s">
        <v>82</v>
      </c>
      <c r="B43" t="s">
        <v>71</v>
      </c>
      <c r="C43">
        <f>(2*$C$9*(ROUNDUP($C$15/12,0)))+(4*$C$12*(ROUNDUP($C$15/12,0)))+(IF($C$19="yes",0,(ROUNDUP($C$15/12,0)*2)*(2*($C$13+$C$14+$C$11))))</f>
        <v>966</v>
      </c>
      <c r="D43" t="str">
        <f>Table5[[#This Row],[STYLE]]&amp;" "&amp;Table5[[#This Row],[PART]]</f>
        <v>MITERED CASE</v>
      </c>
      <c r="G43" s="77">
        <v>3.25</v>
      </c>
      <c r="H43" s="77">
        <v>0.625</v>
      </c>
      <c r="I43" s="77">
        <v>2.25</v>
      </c>
      <c r="J43" s="77">
        <v>0.625</v>
      </c>
      <c r="K43" s="77">
        <v>4.25</v>
      </c>
      <c r="L43" s="77">
        <v>1</v>
      </c>
      <c r="M43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3.25</v>
      </c>
      <c r="N43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0.625</v>
      </c>
    </row>
    <row r="44" spans="1:14" x14ac:dyDescent="0.25">
      <c r="A44" t="s">
        <v>82</v>
      </c>
      <c r="B44" t="s">
        <v>73</v>
      </c>
      <c r="C44">
        <f>IF($C$18="yes",0,(ROUNDUP($C$15/12,0))*($C$13+$C$14))</f>
        <v>21</v>
      </c>
      <c r="D44" t="str">
        <f>Table5[[#This Row],[STYLE]]&amp;" "&amp;Table5[[#This Row],[PART]]</f>
        <v>MITERED INT JAMB</v>
      </c>
      <c r="G44" s="77">
        <v>4.75</v>
      </c>
      <c r="H44" s="77">
        <v>0.75</v>
      </c>
      <c r="I44" s="77">
        <v>4.75</v>
      </c>
      <c r="J44" s="77">
        <v>0.75</v>
      </c>
      <c r="K44" s="77">
        <v>4.75</v>
      </c>
      <c r="L44" s="77">
        <v>0.75</v>
      </c>
      <c r="M44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4.75</v>
      </c>
      <c r="N44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0.75</v>
      </c>
    </row>
    <row r="45" spans="1:14" x14ac:dyDescent="0.25">
      <c r="A45" t="s">
        <v>82</v>
      </c>
      <c r="B45" t="s">
        <v>74</v>
      </c>
      <c r="C45">
        <f>IF(C37="yes",0,((ROUNDUP(($C$15/12),0)*2)*$C$11+(ROUNDUP($C$15/12,0)*3)*$C$10))</f>
        <v>273</v>
      </c>
      <c r="D45" t="str">
        <f>Table5[[#This Row],[STYLE]]&amp;" "&amp;Table5[[#This Row],[PART]]</f>
        <v>MITERED WINDOW JAMB</v>
      </c>
      <c r="G45" s="77">
        <v>6</v>
      </c>
      <c r="H45" s="77">
        <v>0.75</v>
      </c>
      <c r="I45" s="77">
        <v>6</v>
      </c>
      <c r="J45" s="77">
        <v>0.75</v>
      </c>
      <c r="K45" s="77">
        <v>6</v>
      </c>
      <c r="L45" s="77">
        <v>0.75</v>
      </c>
      <c r="M45" s="77">
        <f>IF(Table5[[#This Row],[CUSTOM WIDTH]]&lt;&gt;"",Table5[[#This Row],[CUSTOM WIDTH]],(IF($C$23="standard",Table5[[#This Row],[STANDARD WIDTH]],IF($C$23="economy",Table5[[#This Row],[ECONOMY WIDTH]],IF($C$23="upgraded",Table5[[#This Row],[UPGRADE WIDTH]],Table5[[#This Row],[CUSTOM WIDTH]])))))</f>
        <v>6</v>
      </c>
      <c r="N45" s="77">
        <f>IF(Table5[[#This Row],[CUSTOM THICKNESS]]&lt;&gt;"",Table5[[#This Row],[CUSTOM THICKNESS]],(IF($C$23="standard",Table5[[#This Row],[STANDARD THICKNESS]],IF($C$23="economy",Table5[[#This Row],[ECONOMY THICKNESS]],IF($C$23="upgraded",Table5[[#This Row],[UPGRADED THICKNESS]],Table5[[#This Row],[CUSTOM THICKNESS]])))))</f>
        <v>0.75</v>
      </c>
    </row>
  </sheetData>
  <mergeCells count="1">
    <mergeCell ref="B5:C5"/>
  </mergeCells>
  <phoneticPr fontId="17" type="noConversion"/>
  <dataValidations count="1">
    <dataValidation type="whole" allowBlank="1" showInputMessage="1" showErrorMessage="1" sqref="C7:C14" xr:uid="{3059B8C9-DF99-47FE-9C58-7BBF4BB76F64}">
      <formula1>0</formula1>
      <formula2>10000</formula2>
    </dataValidation>
  </dataValidation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9F7385D-1E88-4738-AB9A-44575A4940B0}">
          <x14:formula1>
            <xm:f>LookUps!$AA$4:$AA$6</xm:f>
          </x14:formula1>
          <xm:sqref>C15</xm:sqref>
        </x14:dataValidation>
        <x14:dataValidation type="list" allowBlank="1" showInputMessage="1" showErrorMessage="1" xr:uid="{A7C75909-5BA4-4FBA-8505-05015BFE6479}">
          <x14:formula1>
            <xm:f>LookUps!$AB$4:$AB$6</xm:f>
          </x14:formula1>
          <xm:sqref>C18:C19</xm:sqref>
        </x14:dataValidation>
        <x14:dataValidation type="list" allowBlank="1" showInputMessage="1" showErrorMessage="1" xr:uid="{7525FE24-9F45-4A6F-B950-12658AEAD816}">
          <x14:formula1>
            <xm:f>LookUps!$AC$4:$AC$7</xm:f>
          </x14:formula1>
          <xm:sqref>C23</xm:sqref>
        </x14:dataValidation>
        <x14:dataValidation type="list" allowBlank="1" showInputMessage="1" showErrorMessage="1" xr:uid="{1505E0FD-6D3D-4745-BC4A-4573876603EC}">
          <x14:formula1>
            <xm:f>LookUps!$AD$4:$AD$9</xm:f>
          </x14:formula1>
          <xm:sqref>C16</xm:sqref>
        </x14:dataValidation>
        <x14:dataValidation type="list" allowBlank="1" showInputMessage="1" showErrorMessage="1" xr:uid="{E180B6F4-A70F-4864-A6B3-7F46FE4A3A06}">
          <x14:formula1>
            <xm:f>LookUps!$AE$4:$AE$9</xm:f>
          </x14:formula1>
          <xm:sqref>C17</xm:sqref>
        </x14:dataValidation>
        <x14:dataValidation type="list" allowBlank="1" showInputMessage="1" showErrorMessage="1" xr:uid="{60925687-9605-4D19-B0D5-C0EE9C44B1D9}">
          <x14:formula1>
            <xm:f>'Hardwood Price Data'!$C$3:$C$29</xm:f>
          </x14:formula1>
          <xm:sqref>C20:C22</xm:sqref>
        </x14:dataValidation>
        <x14:dataValidation type="list" allowBlank="1" showInputMessage="1" showErrorMessage="1" xr:uid="{3B25D746-91B8-4E2A-84AD-ED7183A1340C}">
          <x14:formula1>
            <xm:f>LookUps!$D$5:$D$50</xm:f>
          </x14:formula1>
          <xm:sqref>E27:E45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173A-174A-44CC-999E-4169E7AE753E}">
  <dimension ref="A2:N52"/>
  <sheetViews>
    <sheetView workbookViewId="0">
      <selection activeCell="N10" sqref="N10"/>
    </sheetView>
  </sheetViews>
  <sheetFormatPr defaultRowHeight="15" x14ac:dyDescent="0.25"/>
  <cols>
    <col min="1" max="1" width="14.5703125" customWidth="1"/>
    <col min="2" max="4" width="9.140625" customWidth="1"/>
    <col min="7" max="7" width="9.140625" customWidth="1"/>
    <col min="10" max="10" width="15.140625" bestFit="1" customWidth="1"/>
    <col min="14" max="14" width="132.28515625" customWidth="1"/>
  </cols>
  <sheetData>
    <row r="2" spans="1:14" x14ac:dyDescent="0.25">
      <c r="A2" t="s">
        <v>115</v>
      </c>
      <c r="B2" t="s">
        <v>51</v>
      </c>
      <c r="C2" t="s">
        <v>9</v>
      </c>
      <c r="D2" t="s">
        <v>197</v>
      </c>
      <c r="E2" t="s">
        <v>198</v>
      </c>
      <c r="F2" t="s">
        <v>199</v>
      </c>
      <c r="G2" t="s">
        <v>0</v>
      </c>
      <c r="H2" t="s">
        <v>214</v>
      </c>
      <c r="I2" t="s">
        <v>215</v>
      </c>
      <c r="J2" t="s">
        <v>216</v>
      </c>
      <c r="K2" t="s">
        <v>256</v>
      </c>
      <c r="L2" t="s">
        <v>260</v>
      </c>
      <c r="N2" t="s">
        <v>261</v>
      </c>
    </row>
    <row r="3" spans="1:14" x14ac:dyDescent="0.25">
      <c r="A3">
        <v>1</v>
      </c>
      <c r="B3" t="str">
        <f>IFERROR(INDEX(Table18[Type],MATCH(Table17[[#This Row],[Line Number]],Table18[Line Number],0)),"")</f>
        <v>Swing</v>
      </c>
      <c r="C3">
        <f>IFERROR(INDEX(Table18[Width],MATCH(Table17[[#This Row],[Line Number]],Table18[Line Number],0)),"")</f>
        <v>26</v>
      </c>
      <c r="D3">
        <f>IFERROR(INDEX(Table18[Height],MATCH(Table17[[#This Row],[Line Number]],Table18[Line Number],0)),"")</f>
        <v>80</v>
      </c>
      <c r="E3">
        <f>IFERROR(INDEX(Table18[LH],MATCH(Table17[[#This Row],[Line Number]],Table18[Line Number],0)),"")</f>
        <v>1</v>
      </c>
      <c r="F3">
        <f>IFERROR(INDEX(Table18[RH],MATCH(Table17[[#This Row],[Line Number]],Table18[Line Number],0)),"")</f>
        <v>0</v>
      </c>
      <c r="G3">
        <f>IFERROR(Table17[[#This Row],[RH]]+Table17[[#This Row],[LH]],"")</f>
        <v>1</v>
      </c>
      <c r="H3" t="str">
        <f>IFERROR(INDEX(Table16[Name],MATCH(Table17[[#This Row],[Width]],Table16[Size],0)),"")</f>
        <v>2' 2"</v>
      </c>
      <c r="I3" t="str">
        <f>IFERROR(INDEX(Table16[Name],MATCH(Table17[[#This Row],[Height]],Table16[Size],0)),"")</f>
        <v>6' 8"</v>
      </c>
      <c r="J3" t="str">
        <f>IF(Table17[[#This Row],[Type]]="","",Table17[[#This Row],[Width Name]]&amp;"/"&amp;Table17[[#This Row],[Height Name]]&amp;" "&amp;Table17[[#This Row],[Type]])</f>
        <v>2' 2"/6' 8" Swing</v>
      </c>
      <c r="N3" t="s">
        <v>262</v>
      </c>
    </row>
    <row r="4" spans="1:14" x14ac:dyDescent="0.25">
      <c r="A4">
        <v>2</v>
      </c>
      <c r="B4" t="str">
        <f>IFERROR(INDEX(Table18[Type],MATCH(Table17[[#This Row],[Line Number]],Table18[Line Number],0)),"")</f>
        <v>Swing</v>
      </c>
      <c r="C4">
        <f>IFERROR(INDEX(Table18[Width],MATCH(Table17[[#This Row],[Line Number]],Table18[Line Number],0)),"")</f>
        <v>28</v>
      </c>
      <c r="D4">
        <f>IFERROR(INDEX(Table18[Height],MATCH(Table17[[#This Row],[Line Number]],Table18[Line Number],0)),"")</f>
        <v>80</v>
      </c>
      <c r="E4">
        <f>IFERROR(INDEX(Table18[LH],MATCH(Table17[[#This Row],[Line Number]],Table18[Line Number],0)),"")</f>
        <v>0</v>
      </c>
      <c r="F4">
        <f>IFERROR(INDEX(Table18[RH],MATCH(Table17[[#This Row],[Line Number]],Table18[Line Number],0)),"")</f>
        <v>2</v>
      </c>
      <c r="G4">
        <f>IFERROR(Table17[[#This Row],[RH]]+Table17[[#This Row],[LH]],"")</f>
        <v>2</v>
      </c>
      <c r="H4" t="str">
        <f>IFERROR(INDEX(Table16[Name],MATCH(Table17[[#This Row],[Width]],Table16[Size],0)),"")</f>
        <v>2' 4"</v>
      </c>
      <c r="I4" t="str">
        <f>IFERROR(INDEX(Table16[Name],MATCH(Table17[[#This Row],[Height]],Table16[Size],0)),"")</f>
        <v>6' 8"</v>
      </c>
      <c r="J4" t="str">
        <f>IF(Table17[[#This Row],[Type]]="","",Table17[[#This Row],[Width Name]]&amp;"/"&amp;Table17[[#This Row],[Height Name]]&amp;" "&amp;Table17[[#This Row],[Type]])</f>
        <v>2' 4"/6' 8" Swing</v>
      </c>
    </row>
    <row r="5" spans="1:14" x14ac:dyDescent="0.25">
      <c r="A5">
        <v>3</v>
      </c>
      <c r="B5" t="str">
        <f>IFERROR(INDEX(Table18[Type],MATCH(Table17[[#This Row],[Line Number]],Table18[Line Number],0)),"")</f>
        <v>Swing</v>
      </c>
      <c r="C5">
        <f>IFERROR(INDEX(Table18[Width],MATCH(Table17[[#This Row],[Line Number]],Table18[Line Number],0)),"")</f>
        <v>30</v>
      </c>
      <c r="D5">
        <f>IFERROR(INDEX(Table18[Height],MATCH(Table17[[#This Row],[Line Number]],Table18[Line Number],0)),"")</f>
        <v>84</v>
      </c>
      <c r="E5">
        <f>IFERROR(INDEX(Table18[LH],MATCH(Table17[[#This Row],[Line Number]],Table18[Line Number],0)),"")</f>
        <v>3</v>
      </c>
      <c r="F5">
        <f>IFERROR(INDEX(Table18[RH],MATCH(Table17[[#This Row],[Line Number]],Table18[Line Number],0)),"")</f>
        <v>0</v>
      </c>
      <c r="G5">
        <f>IFERROR(Table17[[#This Row],[RH]]+Table17[[#This Row],[LH]],"")</f>
        <v>3</v>
      </c>
      <c r="H5" t="str">
        <f>IFERROR(INDEX(Table16[Name],MATCH(Table17[[#This Row],[Width]],Table16[Size],0)),"")</f>
        <v>2' 6"</v>
      </c>
      <c r="I5" t="str">
        <f>IFERROR(INDEX(Table16[Name],MATCH(Table17[[#This Row],[Height]],Table16[Size],0)),"")</f>
        <v>7' 0"</v>
      </c>
      <c r="J5" t="str">
        <f>IF(Table17[[#This Row],[Type]]="","",Table17[[#This Row],[Width Name]]&amp;"/"&amp;Table17[[#This Row],[Height Name]]&amp;" "&amp;Table17[[#This Row],[Type]])</f>
        <v>2' 6"/7' 0" Swing</v>
      </c>
    </row>
    <row r="6" spans="1:14" x14ac:dyDescent="0.25">
      <c r="A6">
        <v>4</v>
      </c>
      <c r="B6" t="str">
        <f>IFERROR(INDEX(Table18[Type],MATCH(Table17[[#This Row],[Line Number]],Table18[Line Number],0)),"")</f>
        <v>Swing</v>
      </c>
      <c r="C6">
        <f>IFERROR(INDEX(Table18[Width],MATCH(Table17[[#This Row],[Line Number]],Table18[Line Number],0)),"")</f>
        <v>32</v>
      </c>
      <c r="D6">
        <f>IFERROR(INDEX(Table18[Height],MATCH(Table17[[#This Row],[Line Number]],Table18[Line Number],0)),"")</f>
        <v>84</v>
      </c>
      <c r="E6">
        <f>IFERROR(INDEX(Table18[LH],MATCH(Table17[[#This Row],[Line Number]],Table18[Line Number],0)),"")</f>
        <v>2</v>
      </c>
      <c r="F6">
        <f>IFERROR(INDEX(Table18[RH],MATCH(Table17[[#This Row],[Line Number]],Table18[Line Number],0)),"")</f>
        <v>0</v>
      </c>
      <c r="G6">
        <f>IFERROR(Table17[[#This Row],[RH]]+Table17[[#This Row],[LH]],"")</f>
        <v>2</v>
      </c>
      <c r="H6" t="str">
        <f>IFERROR(INDEX(Table16[Name],MATCH(Table17[[#This Row],[Width]],Table16[Size],0)),"")</f>
        <v>2' 8"</v>
      </c>
      <c r="I6" t="str">
        <f>IFERROR(INDEX(Table16[Name],MATCH(Table17[[#This Row],[Height]],Table16[Size],0)),"")</f>
        <v>7' 0"</v>
      </c>
      <c r="J6" t="str">
        <f>IF(Table17[[#This Row],[Type]]="","",Table17[[#This Row],[Width Name]]&amp;"/"&amp;Table17[[#This Row],[Height Name]]&amp;" "&amp;Table17[[#This Row],[Type]])</f>
        <v>2' 8"/7' 0" Swing</v>
      </c>
    </row>
    <row r="7" spans="1:14" x14ac:dyDescent="0.25">
      <c r="A7">
        <v>5</v>
      </c>
      <c r="B7" t="str">
        <f>IFERROR(INDEX(Table18[Type],MATCH(Table17[[#This Row],[Line Number]],Table18[Line Number],0)),"")</f>
        <v>Swing</v>
      </c>
      <c r="C7">
        <f>IFERROR(INDEX(Table18[Width],MATCH(Table17[[#This Row],[Line Number]],Table18[Line Number],0)),"")</f>
        <v>36</v>
      </c>
      <c r="D7">
        <f>IFERROR(INDEX(Table18[Height],MATCH(Table17[[#This Row],[Line Number]],Table18[Line Number],0)),"")</f>
        <v>96</v>
      </c>
      <c r="E7">
        <f>IFERROR(INDEX(Table18[LH],MATCH(Table17[[#This Row],[Line Number]],Table18[Line Number],0)),"")</f>
        <v>0</v>
      </c>
      <c r="F7">
        <f>IFERROR(INDEX(Table18[RH],MATCH(Table17[[#This Row],[Line Number]],Table18[Line Number],0)),"")</f>
        <v>1</v>
      </c>
      <c r="G7">
        <f>IFERROR(Table17[[#This Row],[RH]]+Table17[[#This Row],[LH]],"")</f>
        <v>1</v>
      </c>
      <c r="H7" t="str">
        <f>IFERROR(INDEX(Table16[Name],MATCH(Table17[[#This Row],[Width]],Table16[Size],0)),"")</f>
        <v>3' 0"</v>
      </c>
      <c r="I7" t="str">
        <f>IFERROR(INDEX(Table16[Name],MATCH(Table17[[#This Row],[Height]],Table16[Size],0)),"")</f>
        <v>8' 0"</v>
      </c>
      <c r="J7" t="str">
        <f>IF(Table17[[#This Row],[Type]]="","",Table17[[#This Row],[Width Name]]&amp;"/"&amp;Table17[[#This Row],[Height Name]]&amp;" "&amp;Table17[[#This Row],[Type]])</f>
        <v>3' 0"/8' 0" Swing</v>
      </c>
    </row>
    <row r="8" spans="1:14" x14ac:dyDescent="0.25">
      <c r="A8">
        <v>6</v>
      </c>
      <c r="B8" t="str">
        <f>IFERROR(INDEX(Table18[Type],MATCH(Table17[[#This Row],[Line Number]],Table18[Line Number],0)),"")</f>
        <v/>
      </c>
      <c r="C8" t="str">
        <f>IFERROR(INDEX(Table18[Width],MATCH(Table17[[#This Row],[Line Number]],Table18[Line Number],0)),"")</f>
        <v/>
      </c>
      <c r="D8" t="str">
        <f>IFERROR(INDEX(Table18[Height],MATCH(Table17[[#This Row],[Line Number]],Table18[Line Number],0)),"")</f>
        <v/>
      </c>
      <c r="E8" t="str">
        <f>IFERROR(INDEX(Table18[LH],MATCH(Table17[[#This Row],[Line Number]],Table18[Line Number],0)),"")</f>
        <v/>
      </c>
      <c r="F8" t="str">
        <f>IFERROR(INDEX(Table18[RH],MATCH(Table17[[#This Row],[Line Number]],Table18[Line Number],0)),"")</f>
        <v/>
      </c>
      <c r="G8" t="str">
        <f>IFERROR(Table17[[#This Row],[RH]]+Table17[[#This Row],[LH]],"")</f>
        <v/>
      </c>
      <c r="H8" t="str">
        <f>IFERROR(INDEX(Table16[Name],MATCH(Table17[[#This Row],[Width]],Table16[Size],0)),"")</f>
        <v/>
      </c>
      <c r="I8" t="str">
        <f>IFERROR(INDEX(Table16[Name],MATCH(Table17[[#This Row],[Height]],Table16[Size],0)),"")</f>
        <v/>
      </c>
      <c r="J8" t="str">
        <f>IF(Table17[[#This Row],[Type]]="","",Table17[[#This Row],[Width Name]]&amp;"/"&amp;Table17[[#This Row],[Height Name]]&amp;" "&amp;Table17[[#This Row],[Type]])</f>
        <v/>
      </c>
    </row>
    <row r="9" spans="1:14" x14ac:dyDescent="0.25">
      <c r="A9">
        <v>7</v>
      </c>
      <c r="B9" t="str">
        <f>IFERROR(INDEX(Table18[Type],MATCH(Table17[[#This Row],[Line Number]],Table18[Line Number],0)),"")</f>
        <v/>
      </c>
      <c r="C9" t="str">
        <f>IFERROR(INDEX(Table18[Width],MATCH(Table17[[#This Row],[Line Number]],Table18[Line Number],0)),"")</f>
        <v/>
      </c>
      <c r="D9" t="str">
        <f>IFERROR(INDEX(Table18[Height],MATCH(Table17[[#This Row],[Line Number]],Table18[Line Number],0)),"")</f>
        <v/>
      </c>
      <c r="E9" t="str">
        <f>IFERROR(INDEX(Table18[LH],MATCH(Table17[[#This Row],[Line Number]],Table18[Line Number],0)),"")</f>
        <v/>
      </c>
      <c r="F9" t="str">
        <f>IFERROR(INDEX(Table18[RH],MATCH(Table17[[#This Row],[Line Number]],Table18[Line Number],0)),"")</f>
        <v/>
      </c>
      <c r="G9" t="str">
        <f>IFERROR(Table17[[#This Row],[RH]]+Table17[[#This Row],[LH]],"")</f>
        <v/>
      </c>
      <c r="H9" t="str">
        <f>IFERROR(INDEX(Table16[Name],MATCH(Table17[[#This Row],[Width]],Table16[Size],0)),"")</f>
        <v/>
      </c>
      <c r="I9" t="str">
        <f>IFERROR(INDEX(Table16[Name],MATCH(Table17[[#This Row],[Height]],Table16[Size],0)),"")</f>
        <v/>
      </c>
      <c r="J9" t="str">
        <f>IF(Table17[[#This Row],[Type]]="","",Table17[[#This Row],[Width Name]]&amp;"/"&amp;Table17[[#This Row],[Height Name]]&amp;" "&amp;Table17[[#This Row],[Type]])</f>
        <v/>
      </c>
    </row>
    <row r="10" spans="1:14" x14ac:dyDescent="0.25">
      <c r="A10">
        <v>8</v>
      </c>
      <c r="B10" t="str">
        <f>IFERROR(INDEX(Table18[Type],MATCH(Table17[[#This Row],[Line Number]],Table18[Line Number],0)),"")</f>
        <v/>
      </c>
      <c r="C10" t="str">
        <f>IFERROR(INDEX(Table18[Width],MATCH(Table17[[#This Row],[Line Number]],Table18[Line Number],0)),"")</f>
        <v/>
      </c>
      <c r="D10" t="str">
        <f>IFERROR(INDEX(Table18[Height],MATCH(Table17[[#This Row],[Line Number]],Table18[Line Number],0)),"")</f>
        <v/>
      </c>
      <c r="E10" t="str">
        <f>IFERROR(INDEX(Table18[LH],MATCH(Table17[[#This Row],[Line Number]],Table18[Line Number],0)),"")</f>
        <v/>
      </c>
      <c r="F10" t="str">
        <f>IFERROR(INDEX(Table18[RH],MATCH(Table17[[#This Row],[Line Number]],Table18[Line Number],0)),"")</f>
        <v/>
      </c>
      <c r="G10" t="str">
        <f>IFERROR(Table17[[#This Row],[RH]]+Table17[[#This Row],[LH]],"")</f>
        <v/>
      </c>
      <c r="H10" t="str">
        <f>IFERROR(INDEX(Table16[Name],MATCH(Table17[[#This Row],[Width]],Table16[Size],0)),"")</f>
        <v/>
      </c>
      <c r="I10" t="str">
        <f>IFERROR(INDEX(Table16[Name],MATCH(Table17[[#This Row],[Height]],Table16[Size],0)),"")</f>
        <v/>
      </c>
      <c r="J10" t="str">
        <f>IF(Table17[[#This Row],[Type]]="","",Table17[[#This Row],[Width Name]]&amp;"/"&amp;Table17[[#This Row],[Height Name]]&amp;" "&amp;Table17[[#This Row],[Type]])</f>
        <v/>
      </c>
    </row>
    <row r="11" spans="1:14" x14ac:dyDescent="0.25">
      <c r="A11">
        <v>9</v>
      </c>
      <c r="B11" t="str">
        <f>IFERROR(INDEX(Table18[Type],MATCH(Table17[[#This Row],[Line Number]],Table18[Line Number],0)),"")</f>
        <v/>
      </c>
      <c r="C11" t="str">
        <f>IFERROR(INDEX(Table18[Width],MATCH(Table17[[#This Row],[Line Number]],Table18[Line Number],0)),"")</f>
        <v/>
      </c>
      <c r="D11" t="str">
        <f>IFERROR(INDEX(Table18[Height],MATCH(Table17[[#This Row],[Line Number]],Table18[Line Number],0)),"")</f>
        <v/>
      </c>
      <c r="E11" t="str">
        <f>IFERROR(INDEX(Table18[LH],MATCH(Table17[[#This Row],[Line Number]],Table18[Line Number],0)),"")</f>
        <v/>
      </c>
      <c r="F11" t="str">
        <f>IFERROR(INDEX(Table18[RH],MATCH(Table17[[#This Row],[Line Number]],Table18[Line Number],0)),"")</f>
        <v/>
      </c>
      <c r="G11" t="str">
        <f>IFERROR(Table17[[#This Row],[RH]]+Table17[[#This Row],[LH]],"")</f>
        <v/>
      </c>
      <c r="H11" t="str">
        <f>IFERROR(INDEX(Table16[Name],MATCH(Table17[[#This Row],[Width]],Table16[Size],0)),"")</f>
        <v/>
      </c>
      <c r="I11" t="str">
        <f>IFERROR(INDEX(Table16[Name],MATCH(Table17[[#This Row],[Height]],Table16[Size],0)),"")</f>
        <v/>
      </c>
      <c r="J11" t="str">
        <f>IF(Table17[[#This Row],[Type]]="","",Table17[[#This Row],[Width Name]]&amp;"/"&amp;Table17[[#This Row],[Height Name]]&amp;" "&amp;Table17[[#This Row],[Type]])</f>
        <v/>
      </c>
    </row>
    <row r="12" spans="1:14" x14ac:dyDescent="0.25">
      <c r="A12">
        <v>10</v>
      </c>
      <c r="B12" t="str">
        <f>IFERROR(INDEX(Table18[Type],MATCH(Table17[[#This Row],[Line Number]],Table18[Line Number],0)),"")</f>
        <v/>
      </c>
      <c r="C12" t="str">
        <f>IFERROR(INDEX(Table18[Width],MATCH(Table17[[#This Row],[Line Number]],Table18[Line Number],0)),"")</f>
        <v/>
      </c>
      <c r="D12" t="str">
        <f>IFERROR(INDEX(Table18[Height],MATCH(Table17[[#This Row],[Line Number]],Table18[Line Number],0)),"")</f>
        <v/>
      </c>
      <c r="E12" t="str">
        <f>IFERROR(INDEX(Table18[LH],MATCH(Table17[[#This Row],[Line Number]],Table18[Line Number],0)),"")</f>
        <v/>
      </c>
      <c r="F12" t="str">
        <f>IFERROR(INDEX(Table18[RH],MATCH(Table17[[#This Row],[Line Number]],Table18[Line Number],0)),"")</f>
        <v/>
      </c>
      <c r="G12" t="str">
        <f>IFERROR(Table17[[#This Row],[RH]]+Table17[[#This Row],[LH]],"")</f>
        <v/>
      </c>
      <c r="H12" t="str">
        <f>IFERROR(INDEX(Table16[Name],MATCH(Table17[[#This Row],[Width]],Table16[Size],0)),"")</f>
        <v/>
      </c>
      <c r="I12" t="str">
        <f>IFERROR(INDEX(Table16[Name],MATCH(Table17[[#This Row],[Height]],Table16[Size],0)),"")</f>
        <v/>
      </c>
      <c r="J12" t="str">
        <f>IF(Table17[[#This Row],[Type]]="","",Table17[[#This Row],[Width Name]]&amp;"/"&amp;Table17[[#This Row],[Height Name]]&amp;" "&amp;Table17[[#This Row],[Type]])</f>
        <v/>
      </c>
    </row>
    <row r="13" spans="1:14" x14ac:dyDescent="0.25">
      <c r="A13">
        <v>11</v>
      </c>
      <c r="B13" t="str">
        <f>IFERROR(INDEX(Table18[Type],MATCH(Table17[[#This Row],[Line Number]],Table18[Line Number],0)),"")</f>
        <v/>
      </c>
      <c r="C13" t="str">
        <f>IFERROR(INDEX(Table18[Width],MATCH(Table17[[#This Row],[Line Number]],Table18[Line Number],0)),"")</f>
        <v/>
      </c>
      <c r="D13" t="str">
        <f>IFERROR(INDEX(Table18[Height],MATCH(Table17[[#This Row],[Line Number]],Table18[Line Number],0)),"")</f>
        <v/>
      </c>
      <c r="E13" t="str">
        <f>IFERROR(INDEX(Table18[LH],MATCH(Table17[[#This Row],[Line Number]],Table18[Line Number],0)),"")</f>
        <v/>
      </c>
      <c r="F13" t="str">
        <f>IFERROR(INDEX(Table18[RH],MATCH(Table17[[#This Row],[Line Number]],Table18[Line Number],0)),"")</f>
        <v/>
      </c>
      <c r="G13" t="str">
        <f>IFERROR(Table17[[#This Row],[RH]]+Table17[[#This Row],[LH]],"")</f>
        <v/>
      </c>
      <c r="H13" t="str">
        <f>IFERROR(INDEX(Table16[Name],MATCH(Table17[[#This Row],[Width]],Table16[Size],0)),"")</f>
        <v/>
      </c>
      <c r="I13" t="str">
        <f>IFERROR(INDEX(Table16[Name],MATCH(Table17[[#This Row],[Height]],Table16[Size],0)),"")</f>
        <v/>
      </c>
      <c r="J13" t="str">
        <f>IF(Table17[[#This Row],[Type]]="","",Table17[[#This Row],[Width Name]]&amp;"/"&amp;Table17[[#This Row],[Height Name]]&amp;" "&amp;Table17[[#This Row],[Type]])</f>
        <v/>
      </c>
    </row>
    <row r="14" spans="1:14" x14ac:dyDescent="0.25">
      <c r="A14">
        <v>12</v>
      </c>
      <c r="B14" t="str">
        <f>IFERROR(INDEX(Table18[Type],MATCH(Table17[[#This Row],[Line Number]],Table18[Line Number],0)),"")</f>
        <v/>
      </c>
      <c r="C14" t="str">
        <f>IFERROR(INDEX(Table18[Width],MATCH(Table17[[#This Row],[Line Number]],Table18[Line Number],0)),"")</f>
        <v/>
      </c>
      <c r="D14" t="str">
        <f>IFERROR(INDEX(Table18[Height],MATCH(Table17[[#This Row],[Line Number]],Table18[Line Number],0)),"")</f>
        <v/>
      </c>
      <c r="E14" t="str">
        <f>IFERROR(INDEX(Table18[LH],MATCH(Table17[[#This Row],[Line Number]],Table18[Line Number],0)),"")</f>
        <v/>
      </c>
      <c r="F14" t="str">
        <f>IFERROR(INDEX(Table18[RH],MATCH(Table17[[#This Row],[Line Number]],Table18[Line Number],0)),"")</f>
        <v/>
      </c>
      <c r="G14" t="str">
        <f>IFERROR(Table17[[#This Row],[RH]]+Table17[[#This Row],[LH]],"")</f>
        <v/>
      </c>
      <c r="H14" t="str">
        <f>IFERROR(INDEX(Table16[Name],MATCH(Table17[[#This Row],[Width]],Table16[Size],0)),"")</f>
        <v/>
      </c>
      <c r="I14" t="str">
        <f>IFERROR(INDEX(Table16[Name],MATCH(Table17[[#This Row],[Height]],Table16[Size],0)),"")</f>
        <v/>
      </c>
      <c r="J14" t="str">
        <f>IF(Table17[[#This Row],[Type]]="","",Table17[[#This Row],[Width Name]]&amp;"/"&amp;Table17[[#This Row],[Height Name]]&amp;" "&amp;Table17[[#This Row],[Type]])</f>
        <v/>
      </c>
    </row>
    <row r="15" spans="1:14" x14ac:dyDescent="0.25">
      <c r="A15">
        <v>13</v>
      </c>
      <c r="B15" t="str">
        <f>IFERROR(INDEX(Table18[Type],MATCH(Table17[[#This Row],[Line Number]],Table18[Line Number],0)),"")</f>
        <v/>
      </c>
      <c r="C15" t="str">
        <f>IFERROR(INDEX(Table18[Width],MATCH(Table17[[#This Row],[Line Number]],Table18[Line Number],0)),"")</f>
        <v/>
      </c>
      <c r="D15" t="str">
        <f>IFERROR(INDEX(Table18[Height],MATCH(Table17[[#This Row],[Line Number]],Table18[Line Number],0)),"")</f>
        <v/>
      </c>
      <c r="E15" t="str">
        <f>IFERROR(INDEX(Table18[LH],MATCH(Table17[[#This Row],[Line Number]],Table18[Line Number],0)),"")</f>
        <v/>
      </c>
      <c r="F15" t="str">
        <f>IFERROR(INDEX(Table18[RH],MATCH(Table17[[#This Row],[Line Number]],Table18[Line Number],0)),"")</f>
        <v/>
      </c>
      <c r="G15" t="str">
        <f>IFERROR(Table17[[#This Row],[RH]]+Table17[[#This Row],[LH]],"")</f>
        <v/>
      </c>
      <c r="H15" t="str">
        <f>IFERROR(INDEX(Table16[Name],MATCH(Table17[[#This Row],[Width]],Table16[Size],0)),"")</f>
        <v/>
      </c>
      <c r="I15" t="str">
        <f>IFERROR(INDEX(Table16[Name],MATCH(Table17[[#This Row],[Height]],Table16[Size],0)),"")</f>
        <v/>
      </c>
      <c r="J15" t="str">
        <f>IF(Table17[[#This Row],[Type]]="","",Table17[[#This Row],[Width Name]]&amp;"/"&amp;Table17[[#This Row],[Height Name]]&amp;" "&amp;Table17[[#This Row],[Type]])</f>
        <v/>
      </c>
    </row>
    <row r="16" spans="1:14" x14ac:dyDescent="0.25">
      <c r="A16">
        <v>14</v>
      </c>
      <c r="B16" t="str">
        <f>IFERROR(INDEX(Table18[Type],MATCH(Table17[[#This Row],[Line Number]],Table18[Line Number],0)),"")</f>
        <v/>
      </c>
      <c r="C16" t="str">
        <f>IFERROR(INDEX(Table18[Width],MATCH(Table17[[#This Row],[Line Number]],Table18[Line Number],0)),"")</f>
        <v/>
      </c>
      <c r="D16" t="str">
        <f>IFERROR(INDEX(Table18[Height],MATCH(Table17[[#This Row],[Line Number]],Table18[Line Number],0)),"")</f>
        <v/>
      </c>
      <c r="E16" t="str">
        <f>IFERROR(INDEX(Table18[LH],MATCH(Table17[[#This Row],[Line Number]],Table18[Line Number],0)),"")</f>
        <v/>
      </c>
      <c r="F16" t="str">
        <f>IFERROR(INDEX(Table18[RH],MATCH(Table17[[#This Row],[Line Number]],Table18[Line Number],0)),"")</f>
        <v/>
      </c>
      <c r="G16" t="str">
        <f>IFERROR(Table17[[#This Row],[RH]]+Table17[[#This Row],[LH]],"")</f>
        <v/>
      </c>
      <c r="H16" t="str">
        <f>IFERROR(INDEX(Table16[Name],MATCH(Table17[[#This Row],[Width]],Table16[Size],0)),"")</f>
        <v/>
      </c>
      <c r="I16" t="str">
        <f>IFERROR(INDEX(Table16[Name],MATCH(Table17[[#This Row],[Height]],Table16[Size],0)),"")</f>
        <v/>
      </c>
      <c r="J16" t="str">
        <f>IF(Table17[[#This Row],[Type]]="","",Table17[[#This Row],[Width Name]]&amp;"/"&amp;Table17[[#This Row],[Height Name]]&amp;" "&amp;Table17[[#This Row],[Type]])</f>
        <v/>
      </c>
    </row>
    <row r="17" spans="1:10" x14ac:dyDescent="0.25">
      <c r="A17">
        <v>15</v>
      </c>
      <c r="B17" t="str">
        <f>IFERROR(INDEX(Table18[Type],MATCH(Table17[[#This Row],[Line Number]],Table18[Line Number],0)),"")</f>
        <v/>
      </c>
      <c r="C17" t="str">
        <f>IFERROR(INDEX(Table18[Width],MATCH(Table17[[#This Row],[Line Number]],Table18[Line Number],0)),"")</f>
        <v/>
      </c>
      <c r="D17" t="str">
        <f>IFERROR(INDEX(Table18[Height],MATCH(Table17[[#This Row],[Line Number]],Table18[Line Number],0)),"")</f>
        <v/>
      </c>
      <c r="E17" t="str">
        <f>IFERROR(INDEX(Table18[LH],MATCH(Table17[[#This Row],[Line Number]],Table18[Line Number],0)),"")</f>
        <v/>
      </c>
      <c r="F17" t="str">
        <f>IFERROR(INDEX(Table18[RH],MATCH(Table17[[#This Row],[Line Number]],Table18[Line Number],0)),"")</f>
        <v/>
      </c>
      <c r="G17" t="str">
        <f>IFERROR(Table17[[#This Row],[RH]]+Table17[[#This Row],[LH]],"")</f>
        <v/>
      </c>
      <c r="H17" t="str">
        <f>IFERROR(INDEX(Table16[Name],MATCH(Table17[[#This Row],[Width]],Table16[Size],0)),"")</f>
        <v/>
      </c>
      <c r="I17" t="str">
        <f>IFERROR(INDEX(Table16[Name],MATCH(Table17[[#This Row],[Height]],Table16[Size],0)),"")</f>
        <v/>
      </c>
      <c r="J17" t="str">
        <f>IF(Table17[[#This Row],[Type]]="","",Table17[[#This Row],[Width Name]]&amp;"/"&amp;Table17[[#This Row],[Height Name]]&amp;" "&amp;Table17[[#This Row],[Type]])</f>
        <v/>
      </c>
    </row>
    <row r="18" spans="1:10" x14ac:dyDescent="0.25">
      <c r="A18">
        <v>16</v>
      </c>
      <c r="B18" t="str">
        <f>IFERROR(INDEX(Table18[Type],MATCH(Table17[[#This Row],[Line Number]],Table18[Line Number],0)),"")</f>
        <v/>
      </c>
      <c r="C18" t="str">
        <f>IFERROR(INDEX(Table18[Width],MATCH(Table17[[#This Row],[Line Number]],Table18[Line Number],0)),"")</f>
        <v/>
      </c>
      <c r="D18" t="str">
        <f>IFERROR(INDEX(Table18[Height],MATCH(Table17[[#This Row],[Line Number]],Table18[Line Number],0)),"")</f>
        <v/>
      </c>
      <c r="E18" t="str">
        <f>IFERROR(INDEX(Table18[LH],MATCH(Table17[[#This Row],[Line Number]],Table18[Line Number],0)),"")</f>
        <v/>
      </c>
      <c r="F18" t="str">
        <f>IFERROR(INDEX(Table18[RH],MATCH(Table17[[#This Row],[Line Number]],Table18[Line Number],0)),"")</f>
        <v/>
      </c>
      <c r="G18" t="str">
        <f>IFERROR(Table17[[#This Row],[RH]]+Table17[[#This Row],[LH]],"")</f>
        <v/>
      </c>
      <c r="H18" t="str">
        <f>IFERROR(INDEX(Table16[Name],MATCH(Table17[[#This Row],[Width]],Table16[Size],0)),"")</f>
        <v/>
      </c>
      <c r="I18" t="str">
        <f>IFERROR(INDEX(Table16[Name],MATCH(Table17[[#This Row],[Height]],Table16[Size],0)),"")</f>
        <v/>
      </c>
      <c r="J18" t="str">
        <f>IF(Table17[[#This Row],[Type]]="","",Table17[[#This Row],[Width Name]]&amp;"/"&amp;Table17[[#This Row],[Height Name]]&amp;" "&amp;Table17[[#This Row],[Type]])</f>
        <v/>
      </c>
    </row>
    <row r="19" spans="1:10" x14ac:dyDescent="0.25">
      <c r="A19">
        <v>17</v>
      </c>
      <c r="B19" t="str">
        <f>IFERROR(INDEX(Table18[Type],MATCH(Table17[[#This Row],[Line Number]],Table18[Line Number],0)),"")</f>
        <v/>
      </c>
      <c r="C19" t="str">
        <f>IFERROR(INDEX(Table18[Width],MATCH(Table17[[#This Row],[Line Number]],Table18[Line Number],0)),"")</f>
        <v/>
      </c>
      <c r="D19" t="str">
        <f>IFERROR(INDEX(Table18[Height],MATCH(Table17[[#This Row],[Line Number]],Table18[Line Number],0)),"")</f>
        <v/>
      </c>
      <c r="E19" t="str">
        <f>IFERROR(INDEX(Table18[LH],MATCH(Table17[[#This Row],[Line Number]],Table18[Line Number],0)),"")</f>
        <v/>
      </c>
      <c r="F19" t="str">
        <f>IFERROR(INDEX(Table18[RH],MATCH(Table17[[#This Row],[Line Number]],Table18[Line Number],0)),"")</f>
        <v/>
      </c>
      <c r="G19" t="str">
        <f>IFERROR(Table17[[#This Row],[RH]]+Table17[[#This Row],[LH]],"")</f>
        <v/>
      </c>
      <c r="H19" t="str">
        <f>IFERROR(INDEX(Table16[Name],MATCH(Table17[[#This Row],[Width]],Table16[Size],0)),"")</f>
        <v/>
      </c>
      <c r="I19" t="str">
        <f>IFERROR(INDEX(Table16[Name],MATCH(Table17[[#This Row],[Height]],Table16[Size],0)),"")</f>
        <v/>
      </c>
      <c r="J19" t="str">
        <f>IF(Table17[[#This Row],[Type]]="","",Table17[[#This Row],[Width Name]]&amp;"/"&amp;Table17[[#This Row],[Height Name]]&amp;" "&amp;Table17[[#This Row],[Type]])</f>
        <v/>
      </c>
    </row>
    <row r="20" spans="1:10" x14ac:dyDescent="0.25">
      <c r="A20">
        <v>18</v>
      </c>
      <c r="B20" t="str">
        <f>IFERROR(INDEX(Table18[Type],MATCH(Table17[[#This Row],[Line Number]],Table18[Line Number],0)),"")</f>
        <v/>
      </c>
      <c r="C20" t="str">
        <f>IFERROR(INDEX(Table18[Width],MATCH(Table17[[#This Row],[Line Number]],Table18[Line Number],0)),"")</f>
        <v/>
      </c>
      <c r="D20" t="str">
        <f>IFERROR(INDEX(Table18[Height],MATCH(Table17[[#This Row],[Line Number]],Table18[Line Number],0)),"")</f>
        <v/>
      </c>
      <c r="E20" t="str">
        <f>IFERROR(INDEX(Table18[LH],MATCH(Table17[[#This Row],[Line Number]],Table18[Line Number],0)),"")</f>
        <v/>
      </c>
      <c r="F20" t="str">
        <f>IFERROR(INDEX(Table18[RH],MATCH(Table17[[#This Row],[Line Number]],Table18[Line Number],0)),"")</f>
        <v/>
      </c>
      <c r="G20" t="str">
        <f>IFERROR(Table17[[#This Row],[RH]]+Table17[[#This Row],[LH]],"")</f>
        <v/>
      </c>
      <c r="H20" t="str">
        <f>IFERROR(INDEX(Table16[Name],MATCH(Table17[[#This Row],[Width]],Table16[Size],0)),"")</f>
        <v/>
      </c>
      <c r="I20" t="str">
        <f>IFERROR(INDEX(Table16[Name],MATCH(Table17[[#This Row],[Height]],Table16[Size],0)),"")</f>
        <v/>
      </c>
      <c r="J20" t="str">
        <f>IF(Table17[[#This Row],[Type]]="","",Table17[[#This Row],[Width Name]]&amp;"/"&amp;Table17[[#This Row],[Height Name]]&amp;" "&amp;Table17[[#This Row],[Type]])</f>
        <v/>
      </c>
    </row>
    <row r="21" spans="1:10" x14ac:dyDescent="0.25">
      <c r="A21">
        <v>19</v>
      </c>
      <c r="B21" t="str">
        <f>IFERROR(INDEX(Table18[Type],MATCH(Table17[[#This Row],[Line Number]],Table18[Line Number],0)),"")</f>
        <v/>
      </c>
      <c r="C21" t="str">
        <f>IFERROR(INDEX(Table18[Width],MATCH(Table17[[#This Row],[Line Number]],Table18[Line Number],0)),"")</f>
        <v/>
      </c>
      <c r="D21" t="str">
        <f>IFERROR(INDEX(Table18[Height],MATCH(Table17[[#This Row],[Line Number]],Table18[Line Number],0)),"")</f>
        <v/>
      </c>
      <c r="E21" t="str">
        <f>IFERROR(INDEX(Table18[LH],MATCH(Table17[[#This Row],[Line Number]],Table18[Line Number],0)),"")</f>
        <v/>
      </c>
      <c r="F21" t="str">
        <f>IFERROR(INDEX(Table18[RH],MATCH(Table17[[#This Row],[Line Number]],Table18[Line Number],0)),"")</f>
        <v/>
      </c>
      <c r="G21" t="str">
        <f>IFERROR(Table17[[#This Row],[RH]]+Table17[[#This Row],[LH]],"")</f>
        <v/>
      </c>
      <c r="H21" t="str">
        <f>IFERROR(INDEX(Table16[Name],MATCH(Table17[[#This Row],[Width]],Table16[Size],0)),"")</f>
        <v/>
      </c>
      <c r="I21" t="str">
        <f>IFERROR(INDEX(Table16[Name],MATCH(Table17[[#This Row],[Height]],Table16[Size],0)),"")</f>
        <v/>
      </c>
      <c r="J21" t="str">
        <f>IF(Table17[[#This Row],[Type]]="","",Table17[[#This Row],[Width Name]]&amp;"/"&amp;Table17[[#This Row],[Height Name]]&amp;" "&amp;Table17[[#This Row],[Type]])</f>
        <v/>
      </c>
    </row>
    <row r="22" spans="1:10" x14ac:dyDescent="0.25">
      <c r="A22">
        <v>20</v>
      </c>
      <c r="B22" t="str">
        <f>IFERROR(INDEX(Table18[Type],MATCH(Table17[[#This Row],[Line Number]],Table18[Line Number],0)),"")</f>
        <v/>
      </c>
      <c r="C22" t="str">
        <f>IFERROR(INDEX(Table18[Width],MATCH(Table17[[#This Row],[Line Number]],Table18[Line Number],0)),"")</f>
        <v/>
      </c>
      <c r="D22" t="str">
        <f>IFERROR(INDEX(Table18[Height],MATCH(Table17[[#This Row],[Line Number]],Table18[Line Number],0)),"")</f>
        <v/>
      </c>
      <c r="E22" t="str">
        <f>IFERROR(INDEX(Table18[LH],MATCH(Table17[[#This Row],[Line Number]],Table18[Line Number],0)),"")</f>
        <v/>
      </c>
      <c r="F22" t="str">
        <f>IFERROR(INDEX(Table18[RH],MATCH(Table17[[#This Row],[Line Number]],Table18[Line Number],0)),"")</f>
        <v/>
      </c>
      <c r="G22" t="str">
        <f>IFERROR(Table17[[#This Row],[RH]]+Table17[[#This Row],[LH]],"")</f>
        <v/>
      </c>
      <c r="H22" t="str">
        <f>IFERROR(INDEX(Table16[Name],MATCH(Table17[[#This Row],[Width]],Table16[Size],0)),"")</f>
        <v/>
      </c>
      <c r="I22" t="str">
        <f>IFERROR(INDEX(Table16[Name],MATCH(Table17[[#This Row],[Height]],Table16[Size],0)),"")</f>
        <v/>
      </c>
      <c r="J22" t="str">
        <f>IF(Table17[[#This Row],[Type]]="","",Table17[[#This Row],[Width Name]]&amp;"/"&amp;Table17[[#This Row],[Height Name]]&amp;" "&amp;Table17[[#This Row],[Type]])</f>
        <v/>
      </c>
    </row>
    <row r="23" spans="1:10" x14ac:dyDescent="0.25">
      <c r="A23">
        <v>21</v>
      </c>
      <c r="B23" t="str">
        <f>IFERROR(INDEX(Table18[Type],MATCH(Table17[[#This Row],[Line Number]],Table18[Line Number],0)),"")</f>
        <v/>
      </c>
      <c r="C23" t="str">
        <f>IFERROR(INDEX(Table18[Width],MATCH(Table17[[#This Row],[Line Number]],Table18[Line Number],0)),"")</f>
        <v/>
      </c>
      <c r="D23" t="str">
        <f>IFERROR(INDEX(Table18[Height],MATCH(Table17[[#This Row],[Line Number]],Table18[Line Number],0)),"")</f>
        <v/>
      </c>
      <c r="E23" t="str">
        <f>IFERROR(INDEX(Table18[LH],MATCH(Table17[[#This Row],[Line Number]],Table18[Line Number],0)),"")</f>
        <v/>
      </c>
      <c r="F23" t="str">
        <f>IFERROR(INDEX(Table18[RH],MATCH(Table17[[#This Row],[Line Number]],Table18[Line Number],0)),"")</f>
        <v/>
      </c>
      <c r="G23" t="str">
        <f>IFERROR(Table17[[#This Row],[RH]]+Table17[[#This Row],[LH]],"")</f>
        <v/>
      </c>
      <c r="H23" t="str">
        <f>IFERROR(INDEX(Table16[Name],MATCH(Table17[[#This Row],[Width]],Table16[Size],0)),"")</f>
        <v/>
      </c>
      <c r="I23" t="str">
        <f>IFERROR(INDEX(Table16[Name],MATCH(Table17[[#This Row],[Height]],Table16[Size],0)),"")</f>
        <v/>
      </c>
      <c r="J23" t="str">
        <f>IF(Table17[[#This Row],[Type]]="","",Table17[[#This Row],[Width Name]]&amp;"/"&amp;Table17[[#This Row],[Height Name]]&amp;" "&amp;Table17[[#This Row],[Type]])</f>
        <v/>
      </c>
    </row>
    <row r="24" spans="1:10" x14ac:dyDescent="0.25">
      <c r="A24">
        <v>22</v>
      </c>
      <c r="B24" t="str">
        <f>IFERROR(INDEX(Table18[Type],MATCH(Table17[[#This Row],[Line Number]],Table18[Line Number],0)),"")</f>
        <v/>
      </c>
      <c r="C24" t="str">
        <f>IFERROR(INDEX(Table18[Width],MATCH(Table17[[#This Row],[Line Number]],Table18[Line Number],0)),"")</f>
        <v/>
      </c>
      <c r="D24" t="str">
        <f>IFERROR(INDEX(Table18[Height],MATCH(Table17[[#This Row],[Line Number]],Table18[Line Number],0)),"")</f>
        <v/>
      </c>
      <c r="E24" t="str">
        <f>IFERROR(INDEX(Table18[LH],MATCH(Table17[[#This Row],[Line Number]],Table18[Line Number],0)),"")</f>
        <v/>
      </c>
      <c r="F24" t="str">
        <f>IFERROR(INDEX(Table18[RH],MATCH(Table17[[#This Row],[Line Number]],Table18[Line Number],0)),"")</f>
        <v/>
      </c>
      <c r="G24" t="str">
        <f>IFERROR(Table17[[#This Row],[RH]]+Table17[[#This Row],[LH]],"")</f>
        <v/>
      </c>
      <c r="H24" t="str">
        <f>IFERROR(INDEX(Table16[Name],MATCH(Table17[[#This Row],[Width]],Table16[Size],0)),"")</f>
        <v/>
      </c>
      <c r="I24" t="str">
        <f>IFERROR(INDEX(Table16[Name],MATCH(Table17[[#This Row],[Height]],Table16[Size],0)),"")</f>
        <v/>
      </c>
      <c r="J24" t="str">
        <f>IF(Table17[[#This Row],[Type]]="","",Table17[[#This Row],[Width Name]]&amp;"/"&amp;Table17[[#This Row],[Height Name]]&amp;" "&amp;Table17[[#This Row],[Type]])</f>
        <v/>
      </c>
    </row>
    <row r="25" spans="1:10" x14ac:dyDescent="0.25">
      <c r="A25">
        <v>23</v>
      </c>
      <c r="B25" t="str">
        <f>IFERROR(INDEX(Table18[Type],MATCH(Table17[[#This Row],[Line Number]],Table18[Line Number],0)),"")</f>
        <v/>
      </c>
      <c r="C25" t="str">
        <f>IFERROR(INDEX(Table18[Width],MATCH(Table17[[#This Row],[Line Number]],Table18[Line Number],0)),"")</f>
        <v/>
      </c>
      <c r="D25" t="str">
        <f>IFERROR(INDEX(Table18[Height],MATCH(Table17[[#This Row],[Line Number]],Table18[Line Number],0)),"")</f>
        <v/>
      </c>
      <c r="E25" t="str">
        <f>IFERROR(INDEX(Table18[LH],MATCH(Table17[[#This Row],[Line Number]],Table18[Line Number],0)),"")</f>
        <v/>
      </c>
      <c r="F25" t="str">
        <f>IFERROR(INDEX(Table18[RH],MATCH(Table17[[#This Row],[Line Number]],Table18[Line Number],0)),"")</f>
        <v/>
      </c>
      <c r="G25" t="str">
        <f>IFERROR(Table17[[#This Row],[RH]]+Table17[[#This Row],[LH]],"")</f>
        <v/>
      </c>
      <c r="H25" t="str">
        <f>IFERROR(INDEX(Table16[Name],MATCH(Table17[[#This Row],[Width]],Table16[Size],0)),"")</f>
        <v/>
      </c>
      <c r="I25" t="str">
        <f>IFERROR(INDEX(Table16[Name],MATCH(Table17[[#This Row],[Height]],Table16[Size],0)),"")</f>
        <v/>
      </c>
      <c r="J25" t="str">
        <f>IF(Table17[[#This Row],[Type]]="","",Table17[[#This Row],[Width Name]]&amp;"/"&amp;Table17[[#This Row],[Height Name]]&amp;" "&amp;Table17[[#This Row],[Type]])</f>
        <v/>
      </c>
    </row>
    <row r="26" spans="1:10" x14ac:dyDescent="0.25">
      <c r="A26">
        <v>24</v>
      </c>
      <c r="B26" t="str">
        <f>IFERROR(INDEX(Table18[Type],MATCH(Table17[[#This Row],[Line Number]],Table18[Line Number],0)),"")</f>
        <v/>
      </c>
      <c r="C26" t="str">
        <f>IFERROR(INDEX(Table18[Width],MATCH(Table17[[#This Row],[Line Number]],Table18[Line Number],0)),"")</f>
        <v/>
      </c>
      <c r="D26" t="str">
        <f>IFERROR(INDEX(Table18[Height],MATCH(Table17[[#This Row],[Line Number]],Table18[Line Number],0)),"")</f>
        <v/>
      </c>
      <c r="E26" t="str">
        <f>IFERROR(INDEX(Table18[LH],MATCH(Table17[[#This Row],[Line Number]],Table18[Line Number],0)),"")</f>
        <v/>
      </c>
      <c r="F26" t="str">
        <f>IFERROR(INDEX(Table18[RH],MATCH(Table17[[#This Row],[Line Number]],Table18[Line Number],0)),"")</f>
        <v/>
      </c>
      <c r="G26" t="str">
        <f>IFERROR(Table17[[#This Row],[RH]]+Table17[[#This Row],[LH]],"")</f>
        <v/>
      </c>
      <c r="H26" t="str">
        <f>IFERROR(INDEX(Table16[Name],MATCH(Table17[[#This Row],[Width]],Table16[Size],0)),"")</f>
        <v/>
      </c>
      <c r="I26" t="str">
        <f>IFERROR(INDEX(Table16[Name],MATCH(Table17[[#This Row],[Height]],Table16[Size],0)),"")</f>
        <v/>
      </c>
      <c r="J26" t="str">
        <f>IF(Table17[[#This Row],[Type]]="","",Table17[[#This Row],[Width Name]]&amp;"/"&amp;Table17[[#This Row],[Height Name]]&amp;" "&amp;Table17[[#This Row],[Type]])</f>
        <v/>
      </c>
    </row>
    <row r="27" spans="1:10" x14ac:dyDescent="0.25">
      <c r="A27">
        <v>25</v>
      </c>
      <c r="B27" t="str">
        <f>IFERROR(INDEX(Table18[Type],MATCH(Table17[[#This Row],[Line Number]],Table18[Line Number],0)),"")</f>
        <v/>
      </c>
      <c r="C27" t="str">
        <f>IFERROR(INDEX(Table18[Width],MATCH(Table17[[#This Row],[Line Number]],Table18[Line Number],0)),"")</f>
        <v/>
      </c>
      <c r="D27" t="str">
        <f>IFERROR(INDEX(Table18[Height],MATCH(Table17[[#This Row],[Line Number]],Table18[Line Number],0)),"")</f>
        <v/>
      </c>
      <c r="E27" t="str">
        <f>IFERROR(INDEX(Table18[LH],MATCH(Table17[[#This Row],[Line Number]],Table18[Line Number],0)),"")</f>
        <v/>
      </c>
      <c r="F27" t="str">
        <f>IFERROR(INDEX(Table18[RH],MATCH(Table17[[#This Row],[Line Number]],Table18[Line Number],0)),"")</f>
        <v/>
      </c>
      <c r="G27" t="str">
        <f>IFERROR(Table17[[#This Row],[RH]]+Table17[[#This Row],[LH]],"")</f>
        <v/>
      </c>
      <c r="H27" t="str">
        <f>IFERROR(INDEX(Table16[Name],MATCH(Table17[[#This Row],[Width]],Table16[Size],0)),"")</f>
        <v/>
      </c>
      <c r="I27" t="str">
        <f>IFERROR(INDEX(Table16[Name],MATCH(Table17[[#This Row],[Height]],Table16[Size],0)),"")</f>
        <v/>
      </c>
      <c r="J27" t="str">
        <f>IF(Table17[[#This Row],[Type]]="","",Table17[[#This Row],[Width Name]]&amp;"/"&amp;Table17[[#This Row],[Height Name]]&amp;" "&amp;Table17[[#This Row],[Type]])</f>
        <v/>
      </c>
    </row>
    <row r="28" spans="1:10" x14ac:dyDescent="0.25">
      <c r="A28">
        <v>26</v>
      </c>
      <c r="B28" t="str">
        <f>IFERROR(INDEX(Table18[Type],MATCH(Table17[[#This Row],[Line Number]],Table18[Line Number],0)),"")</f>
        <v/>
      </c>
      <c r="C28" t="str">
        <f>IFERROR(INDEX(Table18[Width],MATCH(Table17[[#This Row],[Line Number]],Table18[Line Number],0)),"")</f>
        <v/>
      </c>
      <c r="D28" t="str">
        <f>IFERROR(INDEX(Table18[Height],MATCH(Table17[[#This Row],[Line Number]],Table18[Line Number],0)),"")</f>
        <v/>
      </c>
      <c r="E28" t="str">
        <f>IFERROR(INDEX(Table18[LH],MATCH(Table17[[#This Row],[Line Number]],Table18[Line Number],0)),"")</f>
        <v/>
      </c>
      <c r="F28" t="str">
        <f>IFERROR(INDEX(Table18[RH],MATCH(Table17[[#This Row],[Line Number]],Table18[Line Number],0)),"")</f>
        <v/>
      </c>
      <c r="G28" t="str">
        <f>IFERROR(Table17[[#This Row],[RH]]+Table17[[#This Row],[LH]],"")</f>
        <v/>
      </c>
      <c r="H28" t="str">
        <f>IFERROR(INDEX(Table16[Name],MATCH(Table17[[#This Row],[Width]],Table16[Size],0)),"")</f>
        <v/>
      </c>
      <c r="I28" t="str">
        <f>IFERROR(INDEX(Table16[Name],MATCH(Table17[[#This Row],[Height]],Table16[Size],0)),"")</f>
        <v/>
      </c>
      <c r="J28" t="str">
        <f>IF(Table17[[#This Row],[Type]]="","",Table17[[#This Row],[Width Name]]&amp;"/"&amp;Table17[[#This Row],[Height Name]]&amp;" "&amp;Table17[[#This Row],[Type]])</f>
        <v/>
      </c>
    </row>
    <row r="29" spans="1:10" x14ac:dyDescent="0.25">
      <c r="A29">
        <v>27</v>
      </c>
      <c r="B29" t="str">
        <f>IFERROR(INDEX(Table18[Type],MATCH(Table17[[#This Row],[Line Number]],Table18[Line Number],0)),"")</f>
        <v/>
      </c>
      <c r="C29" t="str">
        <f>IFERROR(INDEX(Table18[Width],MATCH(Table17[[#This Row],[Line Number]],Table18[Line Number],0)),"")</f>
        <v/>
      </c>
      <c r="D29" t="str">
        <f>IFERROR(INDEX(Table18[Height],MATCH(Table17[[#This Row],[Line Number]],Table18[Line Number],0)),"")</f>
        <v/>
      </c>
      <c r="E29" t="str">
        <f>IFERROR(INDEX(Table18[LH],MATCH(Table17[[#This Row],[Line Number]],Table18[Line Number],0)),"")</f>
        <v/>
      </c>
      <c r="F29" t="str">
        <f>IFERROR(INDEX(Table18[RH],MATCH(Table17[[#This Row],[Line Number]],Table18[Line Number],0)),"")</f>
        <v/>
      </c>
      <c r="G29" t="str">
        <f>IFERROR(Table17[[#This Row],[RH]]+Table17[[#This Row],[LH]],"")</f>
        <v/>
      </c>
      <c r="H29" t="str">
        <f>IFERROR(INDEX(Table16[Name],MATCH(Table17[[#This Row],[Width]],Table16[Size],0)),"")</f>
        <v/>
      </c>
      <c r="I29" t="str">
        <f>IFERROR(INDEX(Table16[Name],MATCH(Table17[[#This Row],[Height]],Table16[Size],0)),"")</f>
        <v/>
      </c>
      <c r="J29" t="str">
        <f>IF(Table17[[#This Row],[Type]]="","",Table17[[#This Row],[Width Name]]&amp;"/"&amp;Table17[[#This Row],[Height Name]]&amp;" "&amp;Table17[[#This Row],[Type]])</f>
        <v/>
      </c>
    </row>
    <row r="30" spans="1:10" x14ac:dyDescent="0.25">
      <c r="A30">
        <v>28</v>
      </c>
      <c r="B30" t="str">
        <f>IFERROR(INDEX(Table18[Type],MATCH(Table17[[#This Row],[Line Number]],Table18[Line Number],0)),"")</f>
        <v/>
      </c>
      <c r="C30" t="str">
        <f>IFERROR(INDEX(Table18[Width],MATCH(Table17[[#This Row],[Line Number]],Table18[Line Number],0)),"")</f>
        <v/>
      </c>
      <c r="D30" t="str">
        <f>IFERROR(INDEX(Table18[Height],MATCH(Table17[[#This Row],[Line Number]],Table18[Line Number],0)),"")</f>
        <v/>
      </c>
      <c r="E30" t="str">
        <f>IFERROR(INDEX(Table18[LH],MATCH(Table17[[#This Row],[Line Number]],Table18[Line Number],0)),"")</f>
        <v/>
      </c>
      <c r="F30" t="str">
        <f>IFERROR(INDEX(Table18[RH],MATCH(Table17[[#This Row],[Line Number]],Table18[Line Number],0)),"")</f>
        <v/>
      </c>
      <c r="G30" t="str">
        <f>IFERROR(Table17[[#This Row],[RH]]+Table17[[#This Row],[LH]],"")</f>
        <v/>
      </c>
      <c r="H30" t="str">
        <f>IFERROR(INDEX(Table16[Name],MATCH(Table17[[#This Row],[Width]],Table16[Size],0)),"")</f>
        <v/>
      </c>
      <c r="I30" t="str">
        <f>IFERROR(INDEX(Table16[Name],MATCH(Table17[[#This Row],[Height]],Table16[Size],0)),"")</f>
        <v/>
      </c>
      <c r="J30" t="str">
        <f>IF(Table17[[#This Row],[Type]]="","",Table17[[#This Row],[Width Name]]&amp;"/"&amp;Table17[[#This Row],[Height Name]]&amp;" "&amp;Table17[[#This Row],[Type]])</f>
        <v/>
      </c>
    </row>
    <row r="31" spans="1:10" x14ac:dyDescent="0.25">
      <c r="A31">
        <v>29</v>
      </c>
      <c r="B31" t="str">
        <f>IFERROR(INDEX(Table18[Type],MATCH(Table17[[#This Row],[Line Number]],Table18[Line Number],0)),"")</f>
        <v/>
      </c>
      <c r="C31" t="str">
        <f>IFERROR(INDEX(Table18[Width],MATCH(Table17[[#This Row],[Line Number]],Table18[Line Number],0)),"")</f>
        <v/>
      </c>
      <c r="D31" t="str">
        <f>IFERROR(INDEX(Table18[Height],MATCH(Table17[[#This Row],[Line Number]],Table18[Line Number],0)),"")</f>
        <v/>
      </c>
      <c r="E31" t="str">
        <f>IFERROR(INDEX(Table18[LH],MATCH(Table17[[#This Row],[Line Number]],Table18[Line Number],0)),"")</f>
        <v/>
      </c>
      <c r="F31" t="str">
        <f>IFERROR(INDEX(Table18[RH],MATCH(Table17[[#This Row],[Line Number]],Table18[Line Number],0)),"")</f>
        <v/>
      </c>
      <c r="G31" t="str">
        <f>IFERROR(Table17[[#This Row],[RH]]+Table17[[#This Row],[LH]],"")</f>
        <v/>
      </c>
      <c r="H31" t="str">
        <f>IFERROR(INDEX(Table16[Name],MATCH(Table17[[#This Row],[Width]],Table16[Size],0)),"")</f>
        <v/>
      </c>
      <c r="I31" t="str">
        <f>IFERROR(INDEX(Table16[Name],MATCH(Table17[[#This Row],[Height]],Table16[Size],0)),"")</f>
        <v/>
      </c>
      <c r="J31" t="str">
        <f>IF(Table17[[#This Row],[Type]]="","",Table17[[#This Row],[Width Name]]&amp;"/"&amp;Table17[[#This Row],[Height Name]]&amp;" "&amp;Table17[[#This Row],[Type]])</f>
        <v/>
      </c>
    </row>
    <row r="32" spans="1:10" x14ac:dyDescent="0.25">
      <c r="A32">
        <v>30</v>
      </c>
      <c r="B32" t="str">
        <f>IFERROR(INDEX(Table18[Type],MATCH(Table17[[#This Row],[Line Number]],Table18[Line Number],0)),"")</f>
        <v/>
      </c>
      <c r="C32" t="str">
        <f>IFERROR(INDEX(Table18[Width],MATCH(Table17[[#This Row],[Line Number]],Table18[Line Number],0)),"")</f>
        <v/>
      </c>
      <c r="D32" t="str">
        <f>IFERROR(INDEX(Table18[Height],MATCH(Table17[[#This Row],[Line Number]],Table18[Line Number],0)),"")</f>
        <v/>
      </c>
      <c r="E32" t="str">
        <f>IFERROR(INDEX(Table18[LH],MATCH(Table17[[#This Row],[Line Number]],Table18[Line Number],0)),"")</f>
        <v/>
      </c>
      <c r="F32" t="str">
        <f>IFERROR(INDEX(Table18[RH],MATCH(Table17[[#This Row],[Line Number]],Table18[Line Number],0)),"")</f>
        <v/>
      </c>
      <c r="G32" t="str">
        <f>IFERROR(Table17[[#This Row],[RH]]+Table17[[#This Row],[LH]],"")</f>
        <v/>
      </c>
      <c r="H32" t="str">
        <f>IFERROR(INDEX(Table16[Name],MATCH(Table17[[#This Row],[Width]],Table16[Size],0)),"")</f>
        <v/>
      </c>
      <c r="I32" t="str">
        <f>IFERROR(INDEX(Table16[Name],MATCH(Table17[[#This Row],[Height]],Table16[Size],0)),"")</f>
        <v/>
      </c>
      <c r="J32" t="str">
        <f>IF(Table17[[#This Row],[Type]]="","",Table17[[#This Row],[Width Name]]&amp;"/"&amp;Table17[[#This Row],[Height Name]]&amp;" "&amp;Table17[[#This Row],[Type]])</f>
        <v/>
      </c>
    </row>
    <row r="33" spans="1:10" x14ac:dyDescent="0.25">
      <c r="A33">
        <v>31</v>
      </c>
      <c r="B33" t="str">
        <f>IFERROR(INDEX(Table18[Type],MATCH(Table17[[#This Row],[Line Number]],Table18[Line Number],0)),"")</f>
        <v/>
      </c>
      <c r="C33" t="str">
        <f>IFERROR(INDEX(Table18[Width],MATCH(Table17[[#This Row],[Line Number]],Table18[Line Number],0)),"")</f>
        <v/>
      </c>
      <c r="D33" t="str">
        <f>IFERROR(INDEX(Table18[Height],MATCH(Table17[[#This Row],[Line Number]],Table18[Line Number],0)),"")</f>
        <v/>
      </c>
      <c r="E33" t="str">
        <f>IFERROR(INDEX(Table18[LH],MATCH(Table17[[#This Row],[Line Number]],Table18[Line Number],0)),"")</f>
        <v/>
      </c>
      <c r="F33" t="str">
        <f>IFERROR(INDEX(Table18[RH],MATCH(Table17[[#This Row],[Line Number]],Table18[Line Number],0)),"")</f>
        <v/>
      </c>
      <c r="G33" t="str">
        <f>IFERROR(Table17[[#This Row],[RH]]+Table17[[#This Row],[LH]],"")</f>
        <v/>
      </c>
      <c r="H33" t="str">
        <f>IFERROR(INDEX(Table16[Name],MATCH(Table17[[#This Row],[Width]],Table16[Size],0)),"")</f>
        <v/>
      </c>
      <c r="I33" t="str">
        <f>IFERROR(INDEX(Table16[Name],MATCH(Table17[[#This Row],[Height]],Table16[Size],0)),"")</f>
        <v/>
      </c>
      <c r="J33" t="str">
        <f>IF(Table17[[#This Row],[Type]]="","",Table17[[#This Row],[Width Name]]&amp;"/"&amp;Table17[[#This Row],[Height Name]]&amp;" "&amp;Table17[[#This Row],[Type]])</f>
        <v/>
      </c>
    </row>
    <row r="34" spans="1:10" x14ac:dyDescent="0.25">
      <c r="A34">
        <v>32</v>
      </c>
      <c r="B34" t="str">
        <f>IFERROR(INDEX(Table18[Type],MATCH(Table17[[#This Row],[Line Number]],Table18[Line Number],0)),"")</f>
        <v/>
      </c>
      <c r="C34" t="str">
        <f>IFERROR(INDEX(Table18[Width],MATCH(Table17[[#This Row],[Line Number]],Table18[Line Number],0)),"")</f>
        <v/>
      </c>
      <c r="D34" t="str">
        <f>IFERROR(INDEX(Table18[Height],MATCH(Table17[[#This Row],[Line Number]],Table18[Line Number],0)),"")</f>
        <v/>
      </c>
      <c r="E34" t="str">
        <f>IFERROR(INDEX(Table18[LH],MATCH(Table17[[#This Row],[Line Number]],Table18[Line Number],0)),"")</f>
        <v/>
      </c>
      <c r="F34" t="str">
        <f>IFERROR(INDEX(Table18[RH],MATCH(Table17[[#This Row],[Line Number]],Table18[Line Number],0)),"")</f>
        <v/>
      </c>
      <c r="G34" t="str">
        <f>IFERROR(Table17[[#This Row],[RH]]+Table17[[#This Row],[LH]],"")</f>
        <v/>
      </c>
      <c r="H34" t="str">
        <f>IFERROR(INDEX(Table16[Name],MATCH(Table17[[#This Row],[Width]],Table16[Size],0)),"")</f>
        <v/>
      </c>
      <c r="I34" t="str">
        <f>IFERROR(INDEX(Table16[Name],MATCH(Table17[[#This Row],[Height]],Table16[Size],0)),"")</f>
        <v/>
      </c>
      <c r="J34" t="str">
        <f>IF(Table17[[#This Row],[Type]]="","",Table17[[#This Row],[Width Name]]&amp;"/"&amp;Table17[[#This Row],[Height Name]]&amp;" "&amp;Table17[[#This Row],[Type]])</f>
        <v/>
      </c>
    </row>
    <row r="35" spans="1:10" x14ac:dyDescent="0.25">
      <c r="A35">
        <v>33</v>
      </c>
      <c r="B35" t="str">
        <f>IFERROR(INDEX(Table18[Type],MATCH(Table17[[#This Row],[Line Number]],Table18[Line Number],0)),"")</f>
        <v/>
      </c>
      <c r="C35" t="str">
        <f>IFERROR(INDEX(Table18[Width],MATCH(Table17[[#This Row],[Line Number]],Table18[Line Number],0)),"")</f>
        <v/>
      </c>
      <c r="D35" t="str">
        <f>IFERROR(INDEX(Table18[Height],MATCH(Table17[[#This Row],[Line Number]],Table18[Line Number],0)),"")</f>
        <v/>
      </c>
      <c r="E35" t="str">
        <f>IFERROR(INDEX(Table18[LH],MATCH(Table17[[#This Row],[Line Number]],Table18[Line Number],0)),"")</f>
        <v/>
      </c>
      <c r="F35" t="str">
        <f>IFERROR(INDEX(Table18[RH],MATCH(Table17[[#This Row],[Line Number]],Table18[Line Number],0)),"")</f>
        <v/>
      </c>
      <c r="G35" t="str">
        <f>IFERROR(Table17[[#This Row],[RH]]+Table17[[#This Row],[LH]],"")</f>
        <v/>
      </c>
      <c r="H35" t="str">
        <f>IFERROR(INDEX(Table16[Name],MATCH(Table17[[#This Row],[Width]],Table16[Size],0)),"")</f>
        <v/>
      </c>
      <c r="I35" t="str">
        <f>IFERROR(INDEX(Table16[Name],MATCH(Table17[[#This Row],[Height]],Table16[Size],0)),"")</f>
        <v/>
      </c>
      <c r="J35" t="str">
        <f>IF(Table17[[#This Row],[Type]]="","",Table17[[#This Row],[Width Name]]&amp;"/"&amp;Table17[[#This Row],[Height Name]]&amp;" "&amp;Table17[[#This Row],[Type]])</f>
        <v/>
      </c>
    </row>
    <row r="36" spans="1:10" x14ac:dyDescent="0.25">
      <c r="A36">
        <v>34</v>
      </c>
      <c r="B36" t="str">
        <f>IFERROR(INDEX(Table18[Type],MATCH(Table17[[#This Row],[Line Number]],Table18[Line Number],0)),"")</f>
        <v/>
      </c>
      <c r="C36" t="str">
        <f>IFERROR(INDEX(Table18[Width],MATCH(Table17[[#This Row],[Line Number]],Table18[Line Number],0)),"")</f>
        <v/>
      </c>
      <c r="D36" t="str">
        <f>IFERROR(INDEX(Table18[Height],MATCH(Table17[[#This Row],[Line Number]],Table18[Line Number],0)),"")</f>
        <v/>
      </c>
      <c r="E36" t="str">
        <f>IFERROR(INDEX(Table18[LH],MATCH(Table17[[#This Row],[Line Number]],Table18[Line Number],0)),"")</f>
        <v/>
      </c>
      <c r="F36" t="str">
        <f>IFERROR(INDEX(Table18[RH],MATCH(Table17[[#This Row],[Line Number]],Table18[Line Number],0)),"")</f>
        <v/>
      </c>
      <c r="G36" t="str">
        <f>IFERROR(Table17[[#This Row],[RH]]+Table17[[#This Row],[LH]],"")</f>
        <v/>
      </c>
      <c r="H36" t="str">
        <f>IFERROR(INDEX(Table16[Name],MATCH(Table17[[#This Row],[Width]],Table16[Size],0)),"")</f>
        <v/>
      </c>
      <c r="I36" t="str">
        <f>IFERROR(INDEX(Table16[Name],MATCH(Table17[[#This Row],[Height]],Table16[Size],0)),"")</f>
        <v/>
      </c>
      <c r="J36" t="str">
        <f>IF(Table17[[#This Row],[Type]]="","",Table17[[#This Row],[Width Name]]&amp;"/"&amp;Table17[[#This Row],[Height Name]]&amp;" "&amp;Table17[[#This Row],[Type]])</f>
        <v/>
      </c>
    </row>
    <row r="37" spans="1:10" x14ac:dyDescent="0.25">
      <c r="A37">
        <v>35</v>
      </c>
      <c r="B37" t="str">
        <f>IFERROR(INDEX(Table18[Type],MATCH(Table17[[#This Row],[Line Number]],Table18[Line Number],0)),"")</f>
        <v/>
      </c>
      <c r="C37" t="str">
        <f>IFERROR(INDEX(Table18[Width],MATCH(Table17[[#This Row],[Line Number]],Table18[Line Number],0)),"")</f>
        <v/>
      </c>
      <c r="D37" t="str">
        <f>IFERROR(INDEX(Table18[Height],MATCH(Table17[[#This Row],[Line Number]],Table18[Line Number],0)),"")</f>
        <v/>
      </c>
      <c r="E37" t="str">
        <f>IFERROR(INDEX(Table18[LH],MATCH(Table17[[#This Row],[Line Number]],Table18[Line Number],0)),"")</f>
        <v/>
      </c>
      <c r="F37" t="str">
        <f>IFERROR(INDEX(Table18[RH],MATCH(Table17[[#This Row],[Line Number]],Table18[Line Number],0)),"")</f>
        <v/>
      </c>
      <c r="G37" t="str">
        <f>IFERROR(Table17[[#This Row],[RH]]+Table17[[#This Row],[LH]],"")</f>
        <v/>
      </c>
      <c r="H37" t="str">
        <f>IFERROR(INDEX(Table16[Name],MATCH(Table17[[#This Row],[Width]],Table16[Size],0)),"")</f>
        <v/>
      </c>
      <c r="I37" t="str">
        <f>IFERROR(INDEX(Table16[Name],MATCH(Table17[[#This Row],[Height]],Table16[Size],0)),"")</f>
        <v/>
      </c>
      <c r="J37" t="str">
        <f>IF(Table17[[#This Row],[Type]]="","",Table17[[#This Row],[Width Name]]&amp;"/"&amp;Table17[[#This Row],[Height Name]]&amp;" "&amp;Table17[[#This Row],[Type]])</f>
        <v/>
      </c>
    </row>
    <row r="38" spans="1:10" x14ac:dyDescent="0.25">
      <c r="A38">
        <v>36</v>
      </c>
      <c r="B38" t="str">
        <f>IFERROR(INDEX(Table18[Type],MATCH(Table17[[#This Row],[Line Number]],Table18[Line Number],0)),"")</f>
        <v/>
      </c>
      <c r="C38" t="str">
        <f>IFERROR(INDEX(Table18[Width],MATCH(Table17[[#This Row],[Line Number]],Table18[Line Number],0)),"")</f>
        <v/>
      </c>
      <c r="D38" t="str">
        <f>IFERROR(INDEX(Table18[Height],MATCH(Table17[[#This Row],[Line Number]],Table18[Line Number],0)),"")</f>
        <v/>
      </c>
      <c r="E38" t="str">
        <f>IFERROR(INDEX(Table18[LH],MATCH(Table17[[#This Row],[Line Number]],Table18[Line Number],0)),"")</f>
        <v/>
      </c>
      <c r="F38" t="str">
        <f>IFERROR(INDEX(Table18[RH],MATCH(Table17[[#This Row],[Line Number]],Table18[Line Number],0)),"")</f>
        <v/>
      </c>
      <c r="G38" t="str">
        <f>IFERROR(Table17[[#This Row],[RH]]+Table17[[#This Row],[LH]],"")</f>
        <v/>
      </c>
      <c r="H38" t="str">
        <f>IFERROR(INDEX(Table16[Name],MATCH(Table17[[#This Row],[Width]],Table16[Size],0)),"")</f>
        <v/>
      </c>
      <c r="I38" t="str">
        <f>IFERROR(INDEX(Table16[Name],MATCH(Table17[[#This Row],[Height]],Table16[Size],0)),"")</f>
        <v/>
      </c>
      <c r="J38" t="str">
        <f>IF(Table17[[#This Row],[Type]]="","",Table17[[#This Row],[Width Name]]&amp;"/"&amp;Table17[[#This Row],[Height Name]]&amp;" "&amp;Table17[[#This Row],[Type]])</f>
        <v/>
      </c>
    </row>
    <row r="39" spans="1:10" x14ac:dyDescent="0.25">
      <c r="A39">
        <v>37</v>
      </c>
      <c r="B39" t="str">
        <f>IFERROR(INDEX(Table18[Type],MATCH(Table17[[#This Row],[Line Number]],Table18[Line Number],0)),"")</f>
        <v/>
      </c>
      <c r="C39" t="str">
        <f>IFERROR(INDEX(Table18[Width],MATCH(Table17[[#This Row],[Line Number]],Table18[Line Number],0)),"")</f>
        <v/>
      </c>
      <c r="D39" t="str">
        <f>IFERROR(INDEX(Table18[Height],MATCH(Table17[[#This Row],[Line Number]],Table18[Line Number],0)),"")</f>
        <v/>
      </c>
      <c r="E39" t="str">
        <f>IFERROR(INDEX(Table18[LH],MATCH(Table17[[#This Row],[Line Number]],Table18[Line Number],0)),"")</f>
        <v/>
      </c>
      <c r="F39" t="str">
        <f>IFERROR(INDEX(Table18[RH],MATCH(Table17[[#This Row],[Line Number]],Table18[Line Number],0)),"")</f>
        <v/>
      </c>
      <c r="G39" t="str">
        <f>IFERROR(Table17[[#This Row],[RH]]+Table17[[#This Row],[LH]],"")</f>
        <v/>
      </c>
      <c r="H39" t="str">
        <f>IFERROR(INDEX(Table16[Name],MATCH(Table17[[#This Row],[Width]],Table16[Size],0)),"")</f>
        <v/>
      </c>
      <c r="I39" t="str">
        <f>IFERROR(INDEX(Table16[Name],MATCH(Table17[[#This Row],[Height]],Table16[Size],0)),"")</f>
        <v/>
      </c>
      <c r="J39" t="str">
        <f>IF(Table17[[#This Row],[Type]]="","",Table17[[#This Row],[Width Name]]&amp;"/"&amp;Table17[[#This Row],[Height Name]]&amp;" "&amp;Table17[[#This Row],[Type]])</f>
        <v/>
      </c>
    </row>
    <row r="40" spans="1:10" x14ac:dyDescent="0.25">
      <c r="A40">
        <v>38</v>
      </c>
      <c r="B40" t="str">
        <f>IFERROR(INDEX(Table18[Type],MATCH(Table17[[#This Row],[Line Number]],Table18[Line Number],0)),"")</f>
        <v/>
      </c>
      <c r="C40" t="str">
        <f>IFERROR(INDEX(Table18[Width],MATCH(Table17[[#This Row],[Line Number]],Table18[Line Number],0)),"")</f>
        <v/>
      </c>
      <c r="D40" t="str">
        <f>IFERROR(INDEX(Table18[Height],MATCH(Table17[[#This Row],[Line Number]],Table18[Line Number],0)),"")</f>
        <v/>
      </c>
      <c r="E40" t="str">
        <f>IFERROR(INDEX(Table18[LH],MATCH(Table17[[#This Row],[Line Number]],Table18[Line Number],0)),"")</f>
        <v/>
      </c>
      <c r="F40" t="str">
        <f>IFERROR(INDEX(Table18[RH],MATCH(Table17[[#This Row],[Line Number]],Table18[Line Number],0)),"")</f>
        <v/>
      </c>
      <c r="G40" t="str">
        <f>IFERROR(Table17[[#This Row],[RH]]+Table17[[#This Row],[LH]],"")</f>
        <v/>
      </c>
      <c r="H40" t="str">
        <f>IFERROR(INDEX(Table16[Name],MATCH(Table17[[#This Row],[Width]],Table16[Size],0)),"")</f>
        <v/>
      </c>
      <c r="I40" t="str">
        <f>IFERROR(INDEX(Table16[Name],MATCH(Table17[[#This Row],[Height]],Table16[Size],0)),"")</f>
        <v/>
      </c>
      <c r="J40" t="str">
        <f>IF(Table17[[#This Row],[Type]]="","",Table17[[#This Row],[Width Name]]&amp;"/"&amp;Table17[[#This Row],[Height Name]]&amp;" "&amp;Table17[[#This Row],[Type]])</f>
        <v/>
      </c>
    </row>
    <row r="41" spans="1:10" x14ac:dyDescent="0.25">
      <c r="A41">
        <v>39</v>
      </c>
      <c r="B41" t="str">
        <f>IFERROR(INDEX(Table18[Type],MATCH(Table17[[#This Row],[Line Number]],Table18[Line Number],0)),"")</f>
        <v/>
      </c>
      <c r="C41" t="str">
        <f>IFERROR(INDEX(Table18[Width],MATCH(Table17[[#This Row],[Line Number]],Table18[Line Number],0)),"")</f>
        <v/>
      </c>
      <c r="D41" t="str">
        <f>IFERROR(INDEX(Table18[Height],MATCH(Table17[[#This Row],[Line Number]],Table18[Line Number],0)),"")</f>
        <v/>
      </c>
      <c r="E41" t="str">
        <f>IFERROR(INDEX(Table18[LH],MATCH(Table17[[#This Row],[Line Number]],Table18[Line Number],0)),"")</f>
        <v/>
      </c>
      <c r="F41" t="str">
        <f>IFERROR(INDEX(Table18[RH],MATCH(Table17[[#This Row],[Line Number]],Table18[Line Number],0)),"")</f>
        <v/>
      </c>
      <c r="G41" t="str">
        <f>IFERROR(Table17[[#This Row],[RH]]+Table17[[#This Row],[LH]],"")</f>
        <v/>
      </c>
      <c r="H41" t="str">
        <f>IFERROR(INDEX(Table16[Name],MATCH(Table17[[#This Row],[Width]],Table16[Size],0)),"")</f>
        <v/>
      </c>
      <c r="I41" t="str">
        <f>IFERROR(INDEX(Table16[Name],MATCH(Table17[[#This Row],[Height]],Table16[Size],0)),"")</f>
        <v/>
      </c>
      <c r="J41" t="str">
        <f>IF(Table17[[#This Row],[Type]]="","",Table17[[#This Row],[Width Name]]&amp;"/"&amp;Table17[[#This Row],[Height Name]]&amp;" "&amp;Table17[[#This Row],[Type]])</f>
        <v/>
      </c>
    </row>
    <row r="42" spans="1:10" x14ac:dyDescent="0.25">
      <c r="A42">
        <v>40</v>
      </c>
      <c r="B42" t="str">
        <f>IFERROR(INDEX(Table18[Type],MATCH(Table17[[#This Row],[Line Number]],Table18[Line Number],0)),"")</f>
        <v/>
      </c>
      <c r="C42" t="str">
        <f>IFERROR(INDEX(Table18[Width],MATCH(Table17[[#This Row],[Line Number]],Table18[Line Number],0)),"")</f>
        <v/>
      </c>
      <c r="D42" t="str">
        <f>IFERROR(INDEX(Table18[Height],MATCH(Table17[[#This Row],[Line Number]],Table18[Line Number],0)),"")</f>
        <v/>
      </c>
      <c r="E42" t="str">
        <f>IFERROR(INDEX(Table18[LH],MATCH(Table17[[#This Row],[Line Number]],Table18[Line Number],0)),"")</f>
        <v/>
      </c>
      <c r="F42" t="str">
        <f>IFERROR(INDEX(Table18[RH],MATCH(Table17[[#This Row],[Line Number]],Table18[Line Number],0)),"")</f>
        <v/>
      </c>
      <c r="G42" t="str">
        <f>IFERROR(Table17[[#This Row],[RH]]+Table17[[#This Row],[LH]],"")</f>
        <v/>
      </c>
      <c r="H42" t="str">
        <f>IFERROR(INDEX(Table16[Name],MATCH(Table17[[#This Row],[Width]],Table16[Size],0)),"")</f>
        <v/>
      </c>
      <c r="I42" t="str">
        <f>IFERROR(INDEX(Table16[Name],MATCH(Table17[[#This Row],[Height]],Table16[Size],0)),"")</f>
        <v/>
      </c>
      <c r="J42" t="str">
        <f>IF(Table17[[#This Row],[Type]]="","",Table17[[#This Row],[Width Name]]&amp;"/"&amp;Table17[[#This Row],[Height Name]]&amp;" "&amp;Table17[[#This Row],[Type]])</f>
        <v/>
      </c>
    </row>
    <row r="43" spans="1:10" x14ac:dyDescent="0.25">
      <c r="A43">
        <v>41</v>
      </c>
      <c r="B43" t="str">
        <f>IFERROR(INDEX(Table18[Type],MATCH(Table17[[#This Row],[Line Number]],Table18[Line Number],0)),"")</f>
        <v/>
      </c>
      <c r="C43" t="str">
        <f>IFERROR(INDEX(Table18[Width],MATCH(Table17[[#This Row],[Line Number]],Table18[Line Number],0)),"")</f>
        <v/>
      </c>
      <c r="D43" t="str">
        <f>IFERROR(INDEX(Table18[Height],MATCH(Table17[[#This Row],[Line Number]],Table18[Line Number],0)),"")</f>
        <v/>
      </c>
      <c r="E43" t="str">
        <f>IFERROR(INDEX(Table18[LH],MATCH(Table17[[#This Row],[Line Number]],Table18[Line Number],0)),"")</f>
        <v/>
      </c>
      <c r="F43" t="str">
        <f>IFERROR(INDEX(Table18[RH],MATCH(Table17[[#This Row],[Line Number]],Table18[Line Number],0)),"")</f>
        <v/>
      </c>
      <c r="G43" t="str">
        <f>IFERROR(Table17[[#This Row],[RH]]+Table17[[#This Row],[LH]],"")</f>
        <v/>
      </c>
      <c r="H43" t="str">
        <f>IFERROR(INDEX(Table16[Name],MATCH(Table17[[#This Row],[Width]],Table16[Size],0)),"")</f>
        <v/>
      </c>
      <c r="I43" t="str">
        <f>IFERROR(INDEX(Table16[Name],MATCH(Table17[[#This Row],[Height]],Table16[Size],0)),"")</f>
        <v/>
      </c>
      <c r="J43" t="str">
        <f>IF(Table17[[#This Row],[Type]]="","",Table17[[#This Row],[Width Name]]&amp;"/"&amp;Table17[[#This Row],[Height Name]]&amp;" "&amp;Table17[[#This Row],[Type]])</f>
        <v/>
      </c>
    </row>
    <row r="44" spans="1:10" x14ac:dyDescent="0.25">
      <c r="A44">
        <v>42</v>
      </c>
      <c r="B44" t="str">
        <f>IFERROR(INDEX(Table18[Type],MATCH(Table17[[#This Row],[Line Number]],Table18[Line Number],0)),"")</f>
        <v/>
      </c>
      <c r="C44" t="str">
        <f>IFERROR(INDEX(Table18[Width],MATCH(Table17[[#This Row],[Line Number]],Table18[Line Number],0)),"")</f>
        <v/>
      </c>
      <c r="D44" t="str">
        <f>IFERROR(INDEX(Table18[Height],MATCH(Table17[[#This Row],[Line Number]],Table18[Line Number],0)),"")</f>
        <v/>
      </c>
      <c r="E44" t="str">
        <f>IFERROR(INDEX(Table18[LH],MATCH(Table17[[#This Row],[Line Number]],Table18[Line Number],0)),"")</f>
        <v/>
      </c>
      <c r="F44" t="str">
        <f>IFERROR(INDEX(Table18[RH],MATCH(Table17[[#This Row],[Line Number]],Table18[Line Number],0)),"")</f>
        <v/>
      </c>
      <c r="G44" t="str">
        <f>IFERROR(Table17[[#This Row],[RH]]+Table17[[#This Row],[LH]],"")</f>
        <v/>
      </c>
      <c r="H44" t="str">
        <f>IFERROR(INDEX(Table16[Name],MATCH(Table17[[#This Row],[Width]],Table16[Size],0)),"")</f>
        <v/>
      </c>
      <c r="I44" t="str">
        <f>IFERROR(INDEX(Table16[Name],MATCH(Table17[[#This Row],[Height]],Table16[Size],0)),"")</f>
        <v/>
      </c>
      <c r="J44" t="str">
        <f>IF(Table17[[#This Row],[Type]]="","",Table17[[#This Row],[Width Name]]&amp;"/"&amp;Table17[[#This Row],[Height Name]]&amp;" "&amp;Table17[[#This Row],[Type]])</f>
        <v/>
      </c>
    </row>
    <row r="45" spans="1:10" x14ac:dyDescent="0.25">
      <c r="A45">
        <v>43</v>
      </c>
      <c r="B45" t="str">
        <f>IFERROR(INDEX(Table18[Type],MATCH(Table17[[#This Row],[Line Number]],Table18[Line Number],0)),"")</f>
        <v/>
      </c>
      <c r="C45" t="str">
        <f>IFERROR(INDEX(Table18[Width],MATCH(Table17[[#This Row],[Line Number]],Table18[Line Number],0)),"")</f>
        <v/>
      </c>
      <c r="D45" t="str">
        <f>IFERROR(INDEX(Table18[Height],MATCH(Table17[[#This Row],[Line Number]],Table18[Line Number],0)),"")</f>
        <v/>
      </c>
      <c r="E45" t="str">
        <f>IFERROR(INDEX(Table18[LH],MATCH(Table17[[#This Row],[Line Number]],Table18[Line Number],0)),"")</f>
        <v/>
      </c>
      <c r="F45" t="str">
        <f>IFERROR(INDEX(Table18[RH],MATCH(Table17[[#This Row],[Line Number]],Table18[Line Number],0)),"")</f>
        <v/>
      </c>
      <c r="G45" t="str">
        <f>IFERROR(Table17[[#This Row],[RH]]+Table17[[#This Row],[LH]],"")</f>
        <v/>
      </c>
      <c r="H45" t="str">
        <f>IFERROR(INDEX(Table16[Name],MATCH(Table17[[#This Row],[Width]],Table16[Size],0)),"")</f>
        <v/>
      </c>
      <c r="I45" t="str">
        <f>IFERROR(INDEX(Table16[Name],MATCH(Table17[[#This Row],[Height]],Table16[Size],0)),"")</f>
        <v/>
      </c>
      <c r="J45" t="str">
        <f>IF(Table17[[#This Row],[Type]]="","",Table17[[#This Row],[Width Name]]&amp;"/"&amp;Table17[[#This Row],[Height Name]]&amp;" "&amp;Table17[[#This Row],[Type]])</f>
        <v/>
      </c>
    </row>
    <row r="46" spans="1:10" x14ac:dyDescent="0.25">
      <c r="A46">
        <v>44</v>
      </c>
      <c r="B46" t="str">
        <f>IFERROR(INDEX(Table18[Type],MATCH(Table17[[#This Row],[Line Number]],Table18[Line Number],0)),"")</f>
        <v/>
      </c>
      <c r="C46" t="str">
        <f>IFERROR(INDEX(Table18[Width],MATCH(Table17[[#This Row],[Line Number]],Table18[Line Number],0)),"")</f>
        <v/>
      </c>
      <c r="D46" t="str">
        <f>IFERROR(INDEX(Table18[Height],MATCH(Table17[[#This Row],[Line Number]],Table18[Line Number],0)),"")</f>
        <v/>
      </c>
      <c r="E46" t="str">
        <f>IFERROR(INDEX(Table18[LH],MATCH(Table17[[#This Row],[Line Number]],Table18[Line Number],0)),"")</f>
        <v/>
      </c>
      <c r="F46" t="str">
        <f>IFERROR(INDEX(Table18[RH],MATCH(Table17[[#This Row],[Line Number]],Table18[Line Number],0)),"")</f>
        <v/>
      </c>
      <c r="G46" t="str">
        <f>IFERROR(Table17[[#This Row],[RH]]+Table17[[#This Row],[LH]],"")</f>
        <v/>
      </c>
      <c r="H46" t="str">
        <f>IFERROR(INDEX(Table16[Name],MATCH(Table17[[#This Row],[Width]],Table16[Size],0)),"")</f>
        <v/>
      </c>
      <c r="I46" t="str">
        <f>IFERROR(INDEX(Table16[Name],MATCH(Table17[[#This Row],[Height]],Table16[Size],0)),"")</f>
        <v/>
      </c>
      <c r="J46" t="str">
        <f>IF(Table17[[#This Row],[Type]]="","",Table17[[#This Row],[Width Name]]&amp;"/"&amp;Table17[[#This Row],[Height Name]]&amp;" "&amp;Table17[[#This Row],[Type]])</f>
        <v/>
      </c>
    </row>
    <row r="47" spans="1:10" x14ac:dyDescent="0.25">
      <c r="A47">
        <v>45</v>
      </c>
      <c r="B47" t="str">
        <f>IFERROR(INDEX(Table18[Type],MATCH(Table17[[#This Row],[Line Number]],Table18[Line Number],0)),"")</f>
        <v/>
      </c>
      <c r="C47" t="str">
        <f>IFERROR(INDEX(Table18[Width],MATCH(Table17[[#This Row],[Line Number]],Table18[Line Number],0)),"")</f>
        <v/>
      </c>
      <c r="D47" t="str">
        <f>IFERROR(INDEX(Table18[Height],MATCH(Table17[[#This Row],[Line Number]],Table18[Line Number],0)),"")</f>
        <v/>
      </c>
      <c r="E47" t="str">
        <f>IFERROR(INDEX(Table18[LH],MATCH(Table17[[#This Row],[Line Number]],Table18[Line Number],0)),"")</f>
        <v/>
      </c>
      <c r="F47" t="str">
        <f>IFERROR(INDEX(Table18[RH],MATCH(Table17[[#This Row],[Line Number]],Table18[Line Number],0)),"")</f>
        <v/>
      </c>
      <c r="G47" t="str">
        <f>IFERROR(Table17[[#This Row],[RH]]+Table17[[#This Row],[LH]],"")</f>
        <v/>
      </c>
      <c r="H47" t="str">
        <f>IFERROR(INDEX(Table16[Name],MATCH(Table17[[#This Row],[Width]],Table16[Size],0)),"")</f>
        <v/>
      </c>
      <c r="I47" t="str">
        <f>IFERROR(INDEX(Table16[Name],MATCH(Table17[[#This Row],[Height]],Table16[Size],0)),"")</f>
        <v/>
      </c>
      <c r="J47" t="str">
        <f>IF(Table17[[#This Row],[Type]]="","",Table17[[#This Row],[Width Name]]&amp;"/"&amp;Table17[[#This Row],[Height Name]]&amp;" "&amp;Table17[[#This Row],[Type]])</f>
        <v/>
      </c>
    </row>
    <row r="48" spans="1:10" x14ac:dyDescent="0.25">
      <c r="A48">
        <v>46</v>
      </c>
      <c r="B48" t="str">
        <f>IFERROR(INDEX(Table18[Type],MATCH(Table17[[#This Row],[Line Number]],Table18[Line Number],0)),"")</f>
        <v/>
      </c>
      <c r="C48" t="str">
        <f>IFERROR(INDEX(Table18[Width],MATCH(Table17[[#This Row],[Line Number]],Table18[Line Number],0)),"")</f>
        <v/>
      </c>
      <c r="D48" t="str">
        <f>IFERROR(INDEX(Table18[Height],MATCH(Table17[[#This Row],[Line Number]],Table18[Line Number],0)),"")</f>
        <v/>
      </c>
      <c r="E48" t="str">
        <f>IFERROR(INDEX(Table18[LH],MATCH(Table17[[#This Row],[Line Number]],Table18[Line Number],0)),"")</f>
        <v/>
      </c>
      <c r="F48" t="str">
        <f>IFERROR(INDEX(Table18[RH],MATCH(Table17[[#This Row],[Line Number]],Table18[Line Number],0)),"")</f>
        <v/>
      </c>
      <c r="G48" t="str">
        <f>IFERROR(Table17[[#This Row],[RH]]+Table17[[#This Row],[LH]],"")</f>
        <v/>
      </c>
      <c r="H48" t="str">
        <f>IFERROR(INDEX(Table16[Name],MATCH(Table17[[#This Row],[Width]],Table16[Size],0)),"")</f>
        <v/>
      </c>
      <c r="I48" t="str">
        <f>IFERROR(INDEX(Table16[Name],MATCH(Table17[[#This Row],[Height]],Table16[Size],0)),"")</f>
        <v/>
      </c>
      <c r="J48" t="str">
        <f>IF(Table17[[#This Row],[Type]]="","",Table17[[#This Row],[Width Name]]&amp;"/"&amp;Table17[[#This Row],[Height Name]]&amp;" "&amp;Table17[[#This Row],[Type]])</f>
        <v/>
      </c>
    </row>
    <row r="49" spans="1:10" x14ac:dyDescent="0.25">
      <c r="A49">
        <v>47</v>
      </c>
      <c r="B49" t="str">
        <f>IFERROR(INDEX(Table18[Type],MATCH(Table17[[#This Row],[Line Number]],Table18[Line Number],0)),"")</f>
        <v/>
      </c>
      <c r="C49" t="str">
        <f>IFERROR(INDEX(Table18[Width],MATCH(Table17[[#This Row],[Line Number]],Table18[Line Number],0)),"")</f>
        <v/>
      </c>
      <c r="D49" t="str">
        <f>IFERROR(INDEX(Table18[Height],MATCH(Table17[[#This Row],[Line Number]],Table18[Line Number],0)),"")</f>
        <v/>
      </c>
      <c r="E49" t="str">
        <f>IFERROR(INDEX(Table18[LH],MATCH(Table17[[#This Row],[Line Number]],Table18[Line Number],0)),"")</f>
        <v/>
      </c>
      <c r="F49" t="str">
        <f>IFERROR(INDEX(Table18[RH],MATCH(Table17[[#This Row],[Line Number]],Table18[Line Number],0)),"")</f>
        <v/>
      </c>
      <c r="G49" t="str">
        <f>IFERROR(Table17[[#This Row],[RH]]+Table17[[#This Row],[LH]],"")</f>
        <v/>
      </c>
      <c r="H49" t="str">
        <f>IFERROR(INDEX(Table16[Name],MATCH(Table17[[#This Row],[Width]],Table16[Size],0)),"")</f>
        <v/>
      </c>
      <c r="I49" t="str">
        <f>IFERROR(INDEX(Table16[Name],MATCH(Table17[[#This Row],[Height]],Table16[Size],0)),"")</f>
        <v/>
      </c>
      <c r="J49" t="str">
        <f>IF(Table17[[#This Row],[Type]]="","",Table17[[#This Row],[Width Name]]&amp;"/"&amp;Table17[[#This Row],[Height Name]]&amp;" "&amp;Table17[[#This Row],[Type]])</f>
        <v/>
      </c>
    </row>
    <row r="50" spans="1:10" x14ac:dyDescent="0.25">
      <c r="A50">
        <v>48</v>
      </c>
      <c r="B50" t="str">
        <f>IFERROR(INDEX(Table18[Type],MATCH(Table17[[#This Row],[Line Number]],Table18[Line Number],0)),"")</f>
        <v/>
      </c>
      <c r="C50" t="str">
        <f>IFERROR(INDEX(Table18[Width],MATCH(Table17[[#This Row],[Line Number]],Table18[Line Number],0)),"")</f>
        <v/>
      </c>
      <c r="D50" t="str">
        <f>IFERROR(INDEX(Table18[Height],MATCH(Table17[[#This Row],[Line Number]],Table18[Line Number],0)),"")</f>
        <v/>
      </c>
      <c r="E50" t="str">
        <f>IFERROR(INDEX(Table18[LH],MATCH(Table17[[#This Row],[Line Number]],Table18[Line Number],0)),"")</f>
        <v/>
      </c>
      <c r="F50" t="str">
        <f>IFERROR(INDEX(Table18[RH],MATCH(Table17[[#This Row],[Line Number]],Table18[Line Number],0)),"")</f>
        <v/>
      </c>
      <c r="G50" t="str">
        <f>IFERROR(Table17[[#This Row],[RH]]+Table17[[#This Row],[LH]],"")</f>
        <v/>
      </c>
      <c r="H50" t="str">
        <f>IFERROR(INDEX(Table16[Name],MATCH(Table17[[#This Row],[Width]],Table16[Size],0)),"")</f>
        <v/>
      </c>
      <c r="I50" t="str">
        <f>IFERROR(INDEX(Table16[Name],MATCH(Table17[[#This Row],[Height]],Table16[Size],0)),"")</f>
        <v/>
      </c>
      <c r="J50" t="str">
        <f>IF(Table17[[#This Row],[Type]]="","",Table17[[#This Row],[Width Name]]&amp;"/"&amp;Table17[[#This Row],[Height Name]]&amp;" "&amp;Table17[[#This Row],[Type]])</f>
        <v/>
      </c>
    </row>
    <row r="51" spans="1:10" x14ac:dyDescent="0.25">
      <c r="A51">
        <v>49</v>
      </c>
      <c r="B51" t="str">
        <f>IFERROR(INDEX(Table18[Type],MATCH(Table17[[#This Row],[Line Number]],Table18[Line Number],0)),"")</f>
        <v/>
      </c>
      <c r="C51" t="str">
        <f>IFERROR(INDEX(Table18[Width],MATCH(Table17[[#This Row],[Line Number]],Table18[Line Number],0)),"")</f>
        <v/>
      </c>
      <c r="D51" t="str">
        <f>IFERROR(INDEX(Table18[Height],MATCH(Table17[[#This Row],[Line Number]],Table18[Line Number],0)),"")</f>
        <v/>
      </c>
      <c r="E51" t="str">
        <f>IFERROR(INDEX(Table18[LH],MATCH(Table17[[#This Row],[Line Number]],Table18[Line Number],0)),"")</f>
        <v/>
      </c>
      <c r="F51" t="str">
        <f>IFERROR(INDEX(Table18[RH],MATCH(Table17[[#This Row],[Line Number]],Table18[Line Number],0)),"")</f>
        <v/>
      </c>
      <c r="G51" t="str">
        <f>IFERROR(Table17[[#This Row],[RH]]+Table17[[#This Row],[LH]],"")</f>
        <v/>
      </c>
      <c r="H51" t="str">
        <f>IFERROR(INDEX(Table16[Name],MATCH(Table17[[#This Row],[Width]],Table16[Size],0)),"")</f>
        <v/>
      </c>
      <c r="I51" t="str">
        <f>IFERROR(INDEX(Table16[Name],MATCH(Table17[[#This Row],[Height]],Table16[Size],0)),"")</f>
        <v/>
      </c>
      <c r="J51" t="str">
        <f>IF(Table17[[#This Row],[Type]]="","",Table17[[#This Row],[Width Name]]&amp;"/"&amp;Table17[[#This Row],[Height Name]]&amp;" "&amp;Table17[[#This Row],[Type]])</f>
        <v/>
      </c>
    </row>
    <row r="52" spans="1:10" x14ac:dyDescent="0.25">
      <c r="A52">
        <v>50</v>
      </c>
      <c r="B52" t="str">
        <f>IFERROR(INDEX(Table18[Type],MATCH(Table17[[#This Row],[Line Number]],Table18[Line Number],0)),"")</f>
        <v/>
      </c>
      <c r="C52" t="str">
        <f>IFERROR(INDEX(Table18[Width],MATCH(Table17[[#This Row],[Line Number]],Table18[Line Number],0)),"")</f>
        <v/>
      </c>
      <c r="D52" t="str">
        <f>IFERROR(INDEX(Table18[Height],MATCH(Table17[[#This Row],[Line Number]],Table18[Line Number],0)),"")</f>
        <v/>
      </c>
      <c r="E52" t="str">
        <f>IFERROR(INDEX(Table18[LH],MATCH(Table17[[#This Row],[Line Number]],Table18[Line Number],0)),"")</f>
        <v/>
      </c>
      <c r="F52" t="str">
        <f>IFERROR(INDEX(Table18[RH],MATCH(Table17[[#This Row],[Line Number]],Table18[Line Number],0)),"")</f>
        <v/>
      </c>
      <c r="G52" t="str">
        <f>IFERROR(Table17[[#This Row],[RH]]+Table17[[#This Row],[LH]],"")</f>
        <v/>
      </c>
      <c r="H52" t="str">
        <f>IFERROR(INDEX(Table16[Name],MATCH(Table17[[#This Row],[Width]],Table16[Size],0)),"")</f>
        <v/>
      </c>
      <c r="I52" t="str">
        <f>IFERROR(INDEX(Table16[Name],MATCH(Table17[[#This Row],[Height]],Table16[Size],0)),"")</f>
        <v/>
      </c>
      <c r="J52" t="str">
        <f>IF(Table17[[#This Row],[Type]]="","",Table17[[#This Row],[Width Name]]&amp;"/"&amp;Table17[[#This Row],[Height Name]]&amp;" "&amp;Table17[[#This Row],[Type]])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A959-827D-4944-A092-E60A6BEAEDC2}">
  <dimension ref="B2:K33"/>
  <sheetViews>
    <sheetView workbookViewId="0">
      <selection activeCell="G17" sqref="G17"/>
    </sheetView>
  </sheetViews>
  <sheetFormatPr defaultRowHeight="15" x14ac:dyDescent="0.25"/>
  <cols>
    <col min="2" max="2" width="19.5703125" bestFit="1" customWidth="1"/>
    <col min="3" max="3" width="18.28515625" style="76" bestFit="1" customWidth="1"/>
    <col min="4" max="4" width="25.28515625" style="76" bestFit="1" customWidth="1"/>
    <col min="5" max="5" width="24" style="76" bestFit="1" customWidth="1"/>
    <col min="6" max="6" width="18.42578125" style="76" bestFit="1" customWidth="1"/>
    <col min="7" max="7" width="14.85546875" style="76" bestFit="1" customWidth="1"/>
    <col min="8" max="8" width="13.85546875" style="76" bestFit="1" customWidth="1"/>
    <col min="9" max="9" width="16.5703125" style="76" bestFit="1" customWidth="1"/>
    <col min="10" max="10" width="16.28515625" customWidth="1"/>
  </cols>
  <sheetData>
    <row r="2" spans="2:11" x14ac:dyDescent="0.25">
      <c r="B2" s="137" t="s">
        <v>213</v>
      </c>
      <c r="C2" s="138" t="s">
        <v>217</v>
      </c>
      <c r="D2" s="138" t="s">
        <v>218</v>
      </c>
      <c r="E2" s="138" t="s">
        <v>219</v>
      </c>
      <c r="F2" s="138" t="s">
        <v>220</v>
      </c>
      <c r="G2" s="138" t="s">
        <v>221</v>
      </c>
      <c r="H2" s="138" t="s">
        <v>222</v>
      </c>
      <c r="I2" s="138" t="s">
        <v>223</v>
      </c>
      <c r="K2" s="136" t="s">
        <v>255</v>
      </c>
    </row>
    <row r="3" spans="2:11" x14ac:dyDescent="0.25">
      <c r="B3" t="s">
        <v>224</v>
      </c>
      <c r="C3" s="76">
        <v>108.3</v>
      </c>
      <c r="D3" s="76">
        <v>123.1</v>
      </c>
      <c r="E3" s="76">
        <v>122</v>
      </c>
      <c r="F3" s="76">
        <v>118.65</v>
      </c>
      <c r="G3" s="76">
        <v>124.1</v>
      </c>
      <c r="H3" s="76">
        <v>127.9</v>
      </c>
      <c r="I3" s="76">
        <v>90.6</v>
      </c>
    </row>
    <row r="4" spans="2:11" x14ac:dyDescent="0.25">
      <c r="B4" t="s">
        <v>225</v>
      </c>
      <c r="C4" s="76">
        <v>108.3</v>
      </c>
      <c r="D4" s="76">
        <v>123.1</v>
      </c>
      <c r="E4" s="76">
        <v>122</v>
      </c>
      <c r="F4" s="76">
        <v>118.65</v>
      </c>
      <c r="G4" s="76">
        <v>124.1</v>
      </c>
      <c r="H4" s="76">
        <v>127.9</v>
      </c>
      <c r="I4" s="76">
        <v>90.6</v>
      </c>
    </row>
    <row r="5" spans="2:11" x14ac:dyDescent="0.25">
      <c r="B5" t="s">
        <v>226</v>
      </c>
      <c r="C5" s="76">
        <v>108.3</v>
      </c>
      <c r="D5" s="76">
        <v>123.1</v>
      </c>
      <c r="E5" s="76">
        <v>122</v>
      </c>
      <c r="F5" s="76">
        <v>118.65</v>
      </c>
      <c r="G5" s="76">
        <v>124.1</v>
      </c>
      <c r="H5" s="76">
        <v>127.9</v>
      </c>
      <c r="I5" s="76">
        <v>90.6</v>
      </c>
    </row>
    <row r="6" spans="2:11" x14ac:dyDescent="0.25">
      <c r="B6" t="s">
        <v>227</v>
      </c>
      <c r="C6" s="76">
        <v>108.3</v>
      </c>
      <c r="D6" s="76">
        <v>123.1</v>
      </c>
      <c r="E6" s="76">
        <v>122</v>
      </c>
      <c r="F6" s="76">
        <v>118.65</v>
      </c>
      <c r="G6" s="76">
        <v>125</v>
      </c>
      <c r="H6" s="76">
        <v>127.9</v>
      </c>
      <c r="I6" s="76">
        <v>90.6</v>
      </c>
    </row>
    <row r="7" spans="2:11" x14ac:dyDescent="0.25">
      <c r="B7" t="s">
        <v>228</v>
      </c>
      <c r="C7" s="76">
        <v>111.9</v>
      </c>
      <c r="D7" s="76">
        <v>126.3</v>
      </c>
      <c r="E7" s="76">
        <v>122.75</v>
      </c>
      <c r="F7" s="76">
        <v>122.2</v>
      </c>
      <c r="G7" s="76">
        <v>131.25</v>
      </c>
      <c r="H7" s="76">
        <v>130.5</v>
      </c>
      <c r="I7" s="76">
        <v>93.1</v>
      </c>
    </row>
    <row r="8" spans="2:11" x14ac:dyDescent="0.25">
      <c r="B8" t="s">
        <v>229</v>
      </c>
      <c r="C8" s="76">
        <v>111.9</v>
      </c>
      <c r="D8" s="76">
        <v>126.3</v>
      </c>
      <c r="E8" s="76">
        <v>122.75</v>
      </c>
      <c r="F8" s="76">
        <v>122.2</v>
      </c>
      <c r="G8" s="76">
        <v>131.25</v>
      </c>
      <c r="H8" s="76">
        <v>136.30000000000001</v>
      </c>
      <c r="I8" s="76">
        <v>93.1</v>
      </c>
    </row>
    <row r="9" spans="2:11" x14ac:dyDescent="0.25">
      <c r="B9" t="s">
        <v>230</v>
      </c>
      <c r="C9" s="76">
        <v>111.9</v>
      </c>
      <c r="D9" s="76">
        <v>129.75</v>
      </c>
      <c r="E9" s="76">
        <v>125.25</v>
      </c>
      <c r="F9" s="76">
        <v>124.6</v>
      </c>
      <c r="G9" s="76">
        <v>131.25</v>
      </c>
      <c r="H9" s="76">
        <v>136.30000000000001</v>
      </c>
      <c r="I9" s="76">
        <v>94.35</v>
      </c>
    </row>
    <row r="10" spans="2:11" x14ac:dyDescent="0.25">
      <c r="B10" t="s">
        <v>231</v>
      </c>
      <c r="C10" s="76">
        <v>117.35</v>
      </c>
      <c r="D10" s="76">
        <v>133.30000000000001</v>
      </c>
      <c r="E10" s="76">
        <v>127.9</v>
      </c>
      <c r="F10" s="76">
        <v>127.26</v>
      </c>
      <c r="G10" s="76">
        <v>134.75</v>
      </c>
      <c r="H10" s="76">
        <v>139.05000000000001</v>
      </c>
      <c r="I10" s="76">
        <v>96.3</v>
      </c>
    </row>
    <row r="11" spans="2:11" x14ac:dyDescent="0.25">
      <c r="B11" t="s">
        <v>232</v>
      </c>
      <c r="C11" s="76">
        <v>122.25</v>
      </c>
      <c r="D11" s="76">
        <v>139.44999999999999</v>
      </c>
      <c r="E11" s="76">
        <v>132.5</v>
      </c>
      <c r="F11" s="76">
        <v>132.4</v>
      </c>
      <c r="G11" s="76">
        <v>139</v>
      </c>
      <c r="H11" s="76">
        <v>139</v>
      </c>
      <c r="I11" s="76">
        <v>98.45</v>
      </c>
    </row>
    <row r="12" spans="2:11" x14ac:dyDescent="0.25">
      <c r="B12" t="s">
        <v>233</v>
      </c>
      <c r="C12" s="76">
        <v>122.25</v>
      </c>
      <c r="D12" s="76">
        <v>139.44999999999999</v>
      </c>
      <c r="E12" s="76">
        <v>132.5</v>
      </c>
      <c r="F12" s="76">
        <v>132.4</v>
      </c>
      <c r="G12" s="76">
        <v>139</v>
      </c>
      <c r="H12" s="76">
        <v>144.6</v>
      </c>
      <c r="I12" s="76">
        <v>98.45</v>
      </c>
    </row>
    <row r="13" spans="2:11" x14ac:dyDescent="0.25">
      <c r="B13" t="s">
        <v>234</v>
      </c>
      <c r="C13" s="76">
        <v>143.46</v>
      </c>
      <c r="E13" s="76">
        <v>154.72</v>
      </c>
    </row>
    <row r="14" spans="2:11" x14ac:dyDescent="0.25">
      <c r="B14" t="s">
        <v>235</v>
      </c>
      <c r="C14" s="76">
        <v>143.46</v>
      </c>
      <c r="D14" s="76">
        <v>164.9</v>
      </c>
      <c r="E14" s="76">
        <v>154.72</v>
      </c>
      <c r="F14" s="76">
        <v>153.94999999999999</v>
      </c>
      <c r="G14" s="76">
        <v>134.1</v>
      </c>
      <c r="H14" s="76">
        <v>142.19999999999999</v>
      </c>
      <c r="I14" s="76">
        <v>120.8</v>
      </c>
    </row>
    <row r="15" spans="2:11" x14ac:dyDescent="0.25">
      <c r="B15" t="s">
        <v>236</v>
      </c>
      <c r="C15" s="76">
        <v>148.6</v>
      </c>
      <c r="D15" s="76">
        <v>171.4</v>
      </c>
      <c r="E15" s="76">
        <v>158.85</v>
      </c>
      <c r="F15" s="76">
        <v>157.19999999999999</v>
      </c>
      <c r="G15" s="76">
        <v>142.80000000000001</v>
      </c>
      <c r="H15" s="76">
        <v>151.19999999999999</v>
      </c>
      <c r="I15" s="76">
        <v>122.5</v>
      </c>
    </row>
    <row r="16" spans="2:11" x14ac:dyDescent="0.25">
      <c r="B16" t="s">
        <v>237</v>
      </c>
      <c r="C16" s="76">
        <v>148.9</v>
      </c>
      <c r="D16" s="76">
        <v>171.65</v>
      </c>
      <c r="E16" s="76">
        <v>158.85</v>
      </c>
      <c r="F16" s="76">
        <v>157.46</v>
      </c>
      <c r="G16" s="76">
        <v>149.4</v>
      </c>
      <c r="H16" s="76">
        <v>158</v>
      </c>
      <c r="I16" s="76">
        <v>124.1</v>
      </c>
    </row>
    <row r="17" spans="2:9" x14ac:dyDescent="0.25">
      <c r="B17" t="s">
        <v>238</v>
      </c>
      <c r="C17" s="76">
        <v>154.35</v>
      </c>
      <c r="D17" s="76">
        <v>178.3</v>
      </c>
      <c r="E17" s="76">
        <v>164.1</v>
      </c>
      <c r="F17" s="76">
        <v>163.24</v>
      </c>
      <c r="G17" s="76">
        <v>151.94999999999999</v>
      </c>
      <c r="H17" s="76">
        <v>160.55000000000001</v>
      </c>
      <c r="I17" s="76">
        <v>129.94999999999999</v>
      </c>
    </row>
    <row r="18" spans="2:9" x14ac:dyDescent="0.25">
      <c r="B18" t="s">
        <v>239</v>
      </c>
      <c r="C18" s="76">
        <v>158.15</v>
      </c>
      <c r="D18" s="76">
        <v>183.45</v>
      </c>
      <c r="E18" s="76">
        <v>168.1</v>
      </c>
      <c r="F18" s="76">
        <v>167.17</v>
      </c>
      <c r="G18" s="76">
        <v>159.1</v>
      </c>
      <c r="H18" s="76">
        <v>168.7</v>
      </c>
      <c r="I18" s="76">
        <v>131.1</v>
      </c>
    </row>
    <row r="19" spans="2:9" x14ac:dyDescent="0.25">
      <c r="B19" t="s">
        <v>240</v>
      </c>
      <c r="G19" s="76">
        <v>249.8</v>
      </c>
      <c r="H19" s="76">
        <v>252.4</v>
      </c>
      <c r="I19" s="76">
        <v>215.2</v>
      </c>
    </row>
    <row r="20" spans="2:9" x14ac:dyDescent="0.25">
      <c r="B20" t="s">
        <v>241</v>
      </c>
      <c r="C20" s="76">
        <v>251.5</v>
      </c>
      <c r="D20" s="76">
        <v>262.5</v>
      </c>
      <c r="E20" s="76">
        <v>268.60000000000002</v>
      </c>
      <c r="F20" s="76">
        <v>263.8</v>
      </c>
      <c r="G20" s="76">
        <v>254.8</v>
      </c>
      <c r="H20" s="76">
        <v>285.10000000000002</v>
      </c>
      <c r="I20" s="76">
        <v>221.6</v>
      </c>
    </row>
    <row r="21" spans="2:9" x14ac:dyDescent="0.25">
      <c r="B21" t="s">
        <v>242</v>
      </c>
      <c r="C21" s="76">
        <v>255.4</v>
      </c>
      <c r="D21" s="76">
        <v>266.7</v>
      </c>
      <c r="E21" s="76">
        <v>272.5</v>
      </c>
      <c r="F21" s="76">
        <v>267.7</v>
      </c>
      <c r="G21" s="76">
        <v>262.64999999999998</v>
      </c>
      <c r="H21" s="76">
        <v>266.85000000000002</v>
      </c>
      <c r="I21" s="76">
        <v>226.2</v>
      </c>
    </row>
    <row r="22" spans="2:9" x14ac:dyDescent="0.25">
      <c r="B22" t="s">
        <v>243</v>
      </c>
      <c r="C22" s="76">
        <v>179.3</v>
      </c>
      <c r="E22" s="76">
        <v>200.75</v>
      </c>
    </row>
    <row r="23" spans="2:9" x14ac:dyDescent="0.25">
      <c r="B23" t="s">
        <v>244</v>
      </c>
      <c r="C23" s="76">
        <v>185.5</v>
      </c>
      <c r="E23" s="76">
        <v>208.1</v>
      </c>
    </row>
    <row r="24" spans="2:9" x14ac:dyDescent="0.25">
      <c r="B24" t="s">
        <v>245</v>
      </c>
      <c r="C24" s="76">
        <v>189.5</v>
      </c>
      <c r="E24" s="76">
        <v>208.1</v>
      </c>
    </row>
    <row r="25" spans="2:9" x14ac:dyDescent="0.25">
      <c r="B25" t="s">
        <v>246</v>
      </c>
      <c r="C25" s="76">
        <v>192.65</v>
      </c>
      <c r="E25" s="76">
        <v>215.76</v>
      </c>
    </row>
    <row r="26" spans="2:9" x14ac:dyDescent="0.25">
      <c r="B26" t="s">
        <v>247</v>
      </c>
      <c r="C26" s="76">
        <v>199.75</v>
      </c>
      <c r="E26" s="76">
        <v>225.1</v>
      </c>
    </row>
    <row r="27" spans="2:9" x14ac:dyDescent="0.25">
      <c r="B27" t="s">
        <v>248</v>
      </c>
      <c r="C27" s="76">
        <v>224.25</v>
      </c>
      <c r="E27" s="76">
        <v>260.60000000000002</v>
      </c>
      <c r="G27" s="76">
        <v>239</v>
      </c>
      <c r="I27" s="76">
        <v>182.8</v>
      </c>
    </row>
    <row r="28" spans="2:9" x14ac:dyDescent="0.25">
      <c r="B28" t="s">
        <v>249</v>
      </c>
      <c r="C28" s="76">
        <v>231.1</v>
      </c>
      <c r="E28" s="76">
        <v>268.75</v>
      </c>
      <c r="G28" s="76">
        <v>250.8</v>
      </c>
      <c r="I28" s="76">
        <v>186.4</v>
      </c>
    </row>
    <row r="29" spans="2:9" x14ac:dyDescent="0.25">
      <c r="B29" t="s">
        <v>250</v>
      </c>
      <c r="C29" s="76">
        <v>238.8</v>
      </c>
      <c r="E29" s="76">
        <v>268.75</v>
      </c>
      <c r="G29" s="76">
        <v>250.8</v>
      </c>
      <c r="I29" s="76">
        <v>190.6</v>
      </c>
    </row>
    <row r="30" spans="2:9" x14ac:dyDescent="0.25">
      <c r="B30" t="s">
        <v>251</v>
      </c>
      <c r="C30" s="76">
        <v>238.8</v>
      </c>
      <c r="E30" s="76">
        <v>276.39999999999998</v>
      </c>
      <c r="G30" s="76">
        <v>255.25</v>
      </c>
      <c r="I30" s="76">
        <v>191.3</v>
      </c>
    </row>
    <row r="31" spans="2:9" x14ac:dyDescent="0.25">
      <c r="B31" t="s">
        <v>252</v>
      </c>
      <c r="C31" s="76">
        <v>246.6</v>
      </c>
      <c r="E31" s="76">
        <v>281.8</v>
      </c>
      <c r="G31" s="76">
        <v>264.45</v>
      </c>
      <c r="I31" s="76">
        <v>196.75</v>
      </c>
    </row>
    <row r="32" spans="2:9" x14ac:dyDescent="0.25">
      <c r="B32" t="s">
        <v>253</v>
      </c>
      <c r="C32" s="76">
        <v>335</v>
      </c>
      <c r="E32" s="76">
        <v>430.4</v>
      </c>
    </row>
    <row r="33" spans="2:9" x14ac:dyDescent="0.25">
      <c r="B33" t="s">
        <v>254</v>
      </c>
      <c r="C33" s="76">
        <v>389</v>
      </c>
      <c r="E33" s="76">
        <v>436.3</v>
      </c>
      <c r="G33" s="76">
        <v>401.25</v>
      </c>
      <c r="I33" s="76">
        <v>341.4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F4EE-2285-4F16-B4E8-9ACCD7271989}">
  <dimension ref="B1:AH99"/>
  <sheetViews>
    <sheetView workbookViewId="0">
      <selection activeCell="AD14" sqref="AD14"/>
    </sheetView>
  </sheetViews>
  <sheetFormatPr defaultRowHeight="15" x14ac:dyDescent="0.25"/>
  <cols>
    <col min="2" max="2" width="14.7109375" bestFit="1" customWidth="1"/>
    <col min="8" max="9" width="2.7109375" customWidth="1"/>
    <col min="15" max="16" width="2.5703125" customWidth="1"/>
    <col min="22" max="22" width="2.140625" customWidth="1"/>
    <col min="23" max="23" width="68.42578125" customWidth="1"/>
    <col min="28" max="28" width="14.5703125" customWidth="1"/>
  </cols>
  <sheetData>
    <row r="1" spans="2:34" ht="7.5" customHeight="1" thickBot="1" x14ac:dyDescent="0.3"/>
    <row r="2" spans="2:34" ht="19.5" thickBot="1" x14ac:dyDescent="0.35">
      <c r="B2">
        <f>COUNT(Table11[Line Number])</f>
        <v>2</v>
      </c>
      <c r="C2" s="141" t="s">
        <v>205</v>
      </c>
      <c r="D2" s="142"/>
      <c r="E2" s="142"/>
      <c r="F2" s="142"/>
      <c r="G2" s="143"/>
      <c r="I2">
        <f>COUNT(Table11[Line Number])</f>
        <v>2</v>
      </c>
      <c r="J2" s="141" t="s">
        <v>207</v>
      </c>
      <c r="K2" s="142"/>
      <c r="L2" s="142"/>
      <c r="M2" s="142"/>
      <c r="N2" s="143"/>
      <c r="P2">
        <f>COUNT(Table11[Line Number])</f>
        <v>2</v>
      </c>
      <c r="Q2" s="141" t="s">
        <v>206</v>
      </c>
      <c r="R2" s="142"/>
      <c r="S2" s="142"/>
      <c r="T2" s="142"/>
      <c r="U2" s="143"/>
    </row>
    <row r="3" spans="2:34" x14ac:dyDescent="0.25">
      <c r="B3" t="s">
        <v>115</v>
      </c>
      <c r="C3" t="s">
        <v>51</v>
      </c>
      <c r="D3" t="s">
        <v>9</v>
      </c>
      <c r="E3" t="s">
        <v>198</v>
      </c>
      <c r="F3" t="s">
        <v>199</v>
      </c>
      <c r="G3" t="s">
        <v>0</v>
      </c>
      <c r="I3" t="s">
        <v>115</v>
      </c>
      <c r="J3" t="s">
        <v>51</v>
      </c>
      <c r="K3" t="s">
        <v>9</v>
      </c>
      <c r="L3" t="s">
        <v>198</v>
      </c>
      <c r="M3" t="s">
        <v>199</v>
      </c>
      <c r="N3" t="s">
        <v>0</v>
      </c>
      <c r="P3" t="s">
        <v>115</v>
      </c>
      <c r="Q3" t="s">
        <v>51</v>
      </c>
      <c r="R3" t="s">
        <v>9</v>
      </c>
      <c r="S3" t="s">
        <v>198</v>
      </c>
      <c r="T3" t="s">
        <v>199</v>
      </c>
      <c r="U3" t="s">
        <v>0</v>
      </c>
      <c r="W3" t="s">
        <v>208</v>
      </c>
      <c r="Y3" t="s">
        <v>213</v>
      </c>
      <c r="Z3" t="s">
        <v>211</v>
      </c>
      <c r="AB3" t="s">
        <v>115</v>
      </c>
      <c r="AC3" t="s">
        <v>51</v>
      </c>
      <c r="AD3" t="s">
        <v>9</v>
      </c>
      <c r="AE3" t="s">
        <v>197</v>
      </c>
      <c r="AF3" t="s">
        <v>198</v>
      </c>
      <c r="AG3" t="s">
        <v>199</v>
      </c>
      <c r="AH3" t="s">
        <v>212</v>
      </c>
    </row>
    <row r="4" spans="2:34" x14ac:dyDescent="0.25">
      <c r="B4" t="str">
        <f>IF(Table11[[#This Row],[Total]]=0,"",(MAX(B$3:B3)+1))</f>
        <v/>
      </c>
      <c r="C4" t="s">
        <v>200</v>
      </c>
      <c r="D4">
        <v>24</v>
      </c>
      <c r="G4">
        <f>Table11[[#This Row],[RH]]+Table11[[#This Row],[LH]]</f>
        <v>0</v>
      </c>
      <c r="I4" t="str">
        <f>IF(Table1115[[#This Row],[Total]]=0,"",(MAX(I$3:I3)+1)+(MAX(Table11[Line Number])))</f>
        <v/>
      </c>
      <c r="J4" t="s">
        <v>200</v>
      </c>
      <c r="K4">
        <v>24</v>
      </c>
      <c r="N4">
        <f>Table1115[[#This Row],[RH]]+Table1115[[#This Row],[LH]]</f>
        <v>0</v>
      </c>
      <c r="P4" t="str">
        <f>IF(Table1116[[#This Row],[Total]]=0,"",(MAX(P$3:P3)+1)+MAX(Table1115[Line Number]))</f>
        <v/>
      </c>
      <c r="Q4" t="s">
        <v>200</v>
      </c>
      <c r="R4">
        <v>24</v>
      </c>
      <c r="U4">
        <f>Table1116[[#This Row],[RH]]+Table1116[[#This Row],[LH]]</f>
        <v>0</v>
      </c>
      <c r="W4" t="s">
        <v>209</v>
      </c>
      <c r="Y4">
        <v>24</v>
      </c>
      <c r="Z4" t="str">
        <f>INT(Y4/12)&amp;"' "&amp;MOD(Y4,12)&amp;""""</f>
        <v>2' 0"</v>
      </c>
      <c r="AB4" t="str">
        <f>IF(Table18[[#This Row],[total]]=0,"",(MAX($AB$3:$AB3)+1))</f>
        <v/>
      </c>
      <c r="AC4" t="s">
        <v>200</v>
      </c>
      <c r="AD4">
        <v>24</v>
      </c>
      <c r="AE4">
        <v>80</v>
      </c>
      <c r="AF4">
        <f>Table11[[#This Row],[LH]]</f>
        <v>0</v>
      </c>
      <c r="AG4">
        <f>Table11[[#This Row],[RH]]</f>
        <v>0</v>
      </c>
      <c r="AH4">
        <f>Table18[[#This Row],[RH]]+Table18[[#This Row],[LH]]</f>
        <v>0</v>
      </c>
    </row>
    <row r="5" spans="2:34" x14ac:dyDescent="0.25">
      <c r="B5">
        <f>IF(Table11[[#This Row],[Total]]=0,"",(MAX(B$3:B4)+1))</f>
        <v>1</v>
      </c>
      <c r="C5" t="s">
        <v>200</v>
      </c>
      <c r="D5">
        <v>26</v>
      </c>
      <c r="E5">
        <v>1</v>
      </c>
      <c r="G5">
        <f>Table11[[#This Row],[RH]]+Table11[[#This Row],[LH]]</f>
        <v>1</v>
      </c>
      <c r="I5" t="str">
        <f>IF(Table1115[[#This Row],[Total]]=0,"",(MAX(I$3:I4)+1)+(MAX(Table11[Line Number])))</f>
        <v/>
      </c>
      <c r="J5" t="s">
        <v>200</v>
      </c>
      <c r="K5">
        <v>26</v>
      </c>
      <c r="N5">
        <f>Table1115[[#This Row],[RH]]+Table1115[[#This Row],[LH]]</f>
        <v>0</v>
      </c>
      <c r="P5" t="str">
        <f>IF(Table1116[[#This Row],[Total]]=0,"",(MAX(P$3:P4)+1)+MAX(Table1115[Line Number]))</f>
        <v/>
      </c>
      <c r="Q5" t="s">
        <v>200</v>
      </c>
      <c r="R5">
        <v>26</v>
      </c>
      <c r="U5">
        <f>Table1116[[#This Row],[RH]]+Table1116[[#This Row],[LH]]</f>
        <v>0</v>
      </c>
      <c r="W5" t="s">
        <v>210</v>
      </c>
      <c r="Y5">
        <v>26</v>
      </c>
      <c r="Z5" t="str">
        <f t="shared" ref="Z5:Z16" si="0">INT(Y5/12)&amp;"' "&amp;MOD(Y5,12)&amp;""""</f>
        <v>2' 2"</v>
      </c>
      <c r="AB5">
        <f>IF(Table18[[#This Row],[total]]=0,"",(MAX($AB$3:$AB4)+1))</f>
        <v>1</v>
      </c>
      <c r="AC5" t="s">
        <v>200</v>
      </c>
      <c r="AD5">
        <v>26</v>
      </c>
      <c r="AE5">
        <v>80</v>
      </c>
      <c r="AF5">
        <f>Table11[[#This Row],[LH]]</f>
        <v>1</v>
      </c>
      <c r="AG5">
        <f>Table11[[#This Row],[RH]]</f>
        <v>0</v>
      </c>
      <c r="AH5">
        <f>Table18[[#This Row],[RH]]+Table18[[#This Row],[LH]]</f>
        <v>1</v>
      </c>
    </row>
    <row r="6" spans="2:34" x14ac:dyDescent="0.25">
      <c r="B6">
        <f>IF(Table11[[#This Row],[Total]]=0,"",(MAX(B$3:B5)+1))</f>
        <v>2</v>
      </c>
      <c r="C6" t="s">
        <v>200</v>
      </c>
      <c r="D6">
        <v>28</v>
      </c>
      <c r="F6">
        <v>2</v>
      </c>
      <c r="G6">
        <f>Table11[[#This Row],[RH]]+Table11[[#This Row],[LH]]</f>
        <v>2</v>
      </c>
      <c r="I6" t="str">
        <f>IF(Table1115[[#This Row],[Total]]=0,"",(MAX(I$3:I5)+1)+(MAX(Table11[Line Number])))</f>
        <v/>
      </c>
      <c r="J6" t="s">
        <v>200</v>
      </c>
      <c r="K6">
        <v>28</v>
      </c>
      <c r="N6">
        <f>Table1115[[#This Row],[RH]]+Table1115[[#This Row],[LH]]</f>
        <v>0</v>
      </c>
      <c r="P6" t="str">
        <f>IF(Table1116[[#This Row],[Total]]=0,"",(MAX(P$3:P5)+1)+MAX(Table1115[Line Number]))</f>
        <v/>
      </c>
      <c r="Q6" t="s">
        <v>200</v>
      </c>
      <c r="R6">
        <v>28</v>
      </c>
      <c r="U6">
        <f>Table1116[[#This Row],[RH]]+Table1116[[#This Row],[LH]]</f>
        <v>0</v>
      </c>
      <c r="Y6">
        <v>28</v>
      </c>
      <c r="Z6" t="str">
        <f t="shared" si="0"/>
        <v>2' 4"</v>
      </c>
      <c r="AB6">
        <f>IF(Table18[[#This Row],[total]]=0,"",(MAX($AB$3:$AB5)+1))</f>
        <v>2</v>
      </c>
      <c r="AC6" t="s">
        <v>200</v>
      </c>
      <c r="AD6">
        <v>28</v>
      </c>
      <c r="AE6">
        <v>80</v>
      </c>
      <c r="AF6">
        <f>Table11[[#This Row],[LH]]</f>
        <v>0</v>
      </c>
      <c r="AG6">
        <f>Table11[[#This Row],[RH]]</f>
        <v>2</v>
      </c>
      <c r="AH6">
        <f>Table18[[#This Row],[RH]]+Table18[[#This Row],[LH]]</f>
        <v>2</v>
      </c>
    </row>
    <row r="7" spans="2:34" x14ac:dyDescent="0.25">
      <c r="B7" t="str">
        <f>IF(Table11[[#This Row],[Total]]=0,"",(MAX(B$3:B6)+1))</f>
        <v/>
      </c>
      <c r="C7" t="s">
        <v>200</v>
      </c>
      <c r="D7">
        <v>30</v>
      </c>
      <c r="G7">
        <f>Table11[[#This Row],[RH]]+Table11[[#This Row],[LH]]</f>
        <v>0</v>
      </c>
      <c r="I7">
        <f>IF(Table1115[[#This Row],[Total]]=0,"",(MAX(I$3:I6)+1)+(MAX(Table11[Line Number])))</f>
        <v>3</v>
      </c>
      <c r="J7" t="s">
        <v>200</v>
      </c>
      <c r="K7">
        <v>30</v>
      </c>
      <c r="L7">
        <v>3</v>
      </c>
      <c r="N7">
        <f>Table1115[[#This Row],[RH]]+Table1115[[#This Row],[LH]]</f>
        <v>3</v>
      </c>
      <c r="P7" t="str">
        <f>IF(Table1116[[#This Row],[Total]]=0,"",(MAX(P$3:P6)+1)+MAX(Table1115[Line Number]))</f>
        <v/>
      </c>
      <c r="Q7" t="s">
        <v>200</v>
      </c>
      <c r="R7">
        <v>30</v>
      </c>
      <c r="U7">
        <f>Table1116[[#This Row],[RH]]+Table1116[[#This Row],[LH]]</f>
        <v>0</v>
      </c>
      <c r="Y7">
        <v>30</v>
      </c>
      <c r="Z7" t="str">
        <f t="shared" si="0"/>
        <v>2' 6"</v>
      </c>
      <c r="AB7" t="str">
        <f>IF(Table18[[#This Row],[total]]=0,"",(MAX($AB$3:$AB6)+1))</f>
        <v/>
      </c>
      <c r="AC7" t="s">
        <v>200</v>
      </c>
      <c r="AD7">
        <v>30</v>
      </c>
      <c r="AE7">
        <v>80</v>
      </c>
      <c r="AF7">
        <f>Table11[[#This Row],[LH]]</f>
        <v>0</v>
      </c>
      <c r="AG7">
        <f>Table11[[#This Row],[RH]]</f>
        <v>0</v>
      </c>
      <c r="AH7">
        <f>Table18[[#This Row],[RH]]+Table18[[#This Row],[LH]]</f>
        <v>0</v>
      </c>
    </row>
    <row r="8" spans="2:34" x14ac:dyDescent="0.25">
      <c r="B8" t="str">
        <f>IF(Table11[[#This Row],[Total]]=0,"",(MAX(B$3:B7)+1))</f>
        <v/>
      </c>
      <c r="C8" t="s">
        <v>200</v>
      </c>
      <c r="D8">
        <v>32</v>
      </c>
      <c r="G8">
        <f>Table11[[#This Row],[RH]]+Table11[[#This Row],[LH]]</f>
        <v>0</v>
      </c>
      <c r="I8">
        <f>IF(Table1115[[#This Row],[Total]]=0,"",(MAX(I$3:I7)+1)+(MAX(Table11[Line Number])))</f>
        <v>6</v>
      </c>
      <c r="J8" t="s">
        <v>200</v>
      </c>
      <c r="K8">
        <v>32</v>
      </c>
      <c r="L8">
        <v>2</v>
      </c>
      <c r="N8">
        <f>Table1115[[#This Row],[RH]]+Table1115[[#This Row],[LH]]</f>
        <v>2</v>
      </c>
      <c r="P8" t="str">
        <f>IF(Table1116[[#This Row],[Total]]=0,"",(MAX(P$3:P7)+1)+MAX(Table1115[Line Number]))</f>
        <v/>
      </c>
      <c r="Q8" t="s">
        <v>200</v>
      </c>
      <c r="R8">
        <v>32</v>
      </c>
      <c r="U8">
        <f>Table1116[[#This Row],[RH]]+Table1116[[#This Row],[LH]]</f>
        <v>0</v>
      </c>
      <c r="Y8">
        <v>32</v>
      </c>
      <c r="Z8" t="str">
        <f t="shared" si="0"/>
        <v>2' 8"</v>
      </c>
      <c r="AB8" t="str">
        <f>IF(Table18[[#This Row],[total]]=0,"",(MAX($AB$3:$AB7)+1))</f>
        <v/>
      </c>
      <c r="AC8" t="s">
        <v>200</v>
      </c>
      <c r="AD8">
        <v>32</v>
      </c>
      <c r="AE8">
        <v>80</v>
      </c>
      <c r="AF8">
        <f>Table11[[#This Row],[LH]]</f>
        <v>0</v>
      </c>
      <c r="AG8">
        <f>Table11[[#This Row],[RH]]</f>
        <v>0</v>
      </c>
      <c r="AH8">
        <f>Table18[[#This Row],[RH]]+Table18[[#This Row],[LH]]</f>
        <v>0</v>
      </c>
    </row>
    <row r="9" spans="2:34" x14ac:dyDescent="0.25">
      <c r="B9" t="str">
        <f>IF(Table11[[#This Row],[Total]]=0,"",(MAX(B$3:B8)+1))</f>
        <v/>
      </c>
      <c r="C9" t="s">
        <v>200</v>
      </c>
      <c r="D9">
        <v>34</v>
      </c>
      <c r="G9">
        <f>Table11[[#This Row],[RH]]+Table11[[#This Row],[LH]]</f>
        <v>0</v>
      </c>
      <c r="I9" t="str">
        <f>IF(Table1115[[#This Row],[Total]]=0,"",(MAX(I$3:I8)+1)+(MAX(Table11[Line Number])))</f>
        <v/>
      </c>
      <c r="J9" t="s">
        <v>200</v>
      </c>
      <c r="K9">
        <v>34</v>
      </c>
      <c r="N9">
        <f>Table1115[[#This Row],[RH]]+Table1115[[#This Row],[LH]]</f>
        <v>0</v>
      </c>
      <c r="P9" t="str">
        <f>IF(Table1116[[#This Row],[Total]]=0,"",(MAX(P$3:P8)+1)+MAX(Table1115[Line Number]))</f>
        <v/>
      </c>
      <c r="Q9" t="s">
        <v>200</v>
      </c>
      <c r="R9">
        <v>34</v>
      </c>
      <c r="U9">
        <f>Table1116[[#This Row],[RH]]+Table1116[[#This Row],[LH]]</f>
        <v>0</v>
      </c>
      <c r="Y9">
        <v>34</v>
      </c>
      <c r="Z9" t="str">
        <f t="shared" si="0"/>
        <v>2' 10"</v>
      </c>
      <c r="AB9" t="str">
        <f>IF(Table18[[#This Row],[total]]=0,"",(MAX($AB$3:$AB8)+1))</f>
        <v/>
      </c>
      <c r="AC9" t="s">
        <v>200</v>
      </c>
      <c r="AD9">
        <v>34</v>
      </c>
      <c r="AE9">
        <v>80</v>
      </c>
      <c r="AF9">
        <f>Table11[[#This Row],[LH]]</f>
        <v>0</v>
      </c>
      <c r="AG9">
        <f>Table11[[#This Row],[RH]]</f>
        <v>0</v>
      </c>
      <c r="AH9">
        <f>Table18[[#This Row],[RH]]+Table18[[#This Row],[LH]]</f>
        <v>0</v>
      </c>
    </row>
    <row r="10" spans="2:34" x14ac:dyDescent="0.25">
      <c r="B10" t="str">
        <f>IF(Table11[[#This Row],[Total]]=0,"",(MAX(B$3:B9)+1))</f>
        <v/>
      </c>
      <c r="C10" t="s">
        <v>200</v>
      </c>
      <c r="D10">
        <v>36</v>
      </c>
      <c r="G10">
        <f>Table11[[#This Row],[RH]]+Table11[[#This Row],[LH]]</f>
        <v>0</v>
      </c>
      <c r="I10" t="str">
        <f>IF(Table1115[[#This Row],[Total]]=0,"",(MAX(I$3:I9)+1)+(MAX(Table11[Line Number])))</f>
        <v/>
      </c>
      <c r="J10" t="s">
        <v>200</v>
      </c>
      <c r="K10">
        <v>36</v>
      </c>
      <c r="N10">
        <f>Table1115[[#This Row],[RH]]+Table1115[[#This Row],[LH]]</f>
        <v>0</v>
      </c>
      <c r="P10">
        <f>IF(Table1116[[#This Row],[Total]]=0,"",(MAX(P$3:P9)+1)+MAX(Table1115[Line Number]))</f>
        <v>7</v>
      </c>
      <c r="Q10" t="s">
        <v>200</v>
      </c>
      <c r="R10">
        <v>36</v>
      </c>
      <c r="T10">
        <v>1</v>
      </c>
      <c r="U10">
        <f>Table1116[[#This Row],[RH]]+Table1116[[#This Row],[LH]]</f>
        <v>1</v>
      </c>
      <c r="Y10">
        <v>36</v>
      </c>
      <c r="Z10" t="str">
        <f t="shared" si="0"/>
        <v>3' 0"</v>
      </c>
      <c r="AB10" t="str">
        <f>IF(Table18[[#This Row],[total]]=0,"",(MAX($AB$3:$AB9)+1))</f>
        <v/>
      </c>
      <c r="AC10" t="s">
        <v>200</v>
      </c>
      <c r="AD10">
        <v>36</v>
      </c>
      <c r="AE10">
        <v>80</v>
      </c>
      <c r="AF10">
        <f>Table11[[#This Row],[LH]]</f>
        <v>0</v>
      </c>
      <c r="AG10">
        <f>Table11[[#This Row],[RH]]</f>
        <v>0</v>
      </c>
      <c r="AH10">
        <f>Table18[[#This Row],[RH]]+Table18[[#This Row],[LH]]</f>
        <v>0</v>
      </c>
    </row>
    <row r="11" spans="2:34" x14ac:dyDescent="0.25">
      <c r="B11" t="str">
        <f>IF(Table11[[#This Row],[Total]]=0,"",(MAX(B$3:B10)+1))</f>
        <v/>
      </c>
      <c r="C11" t="s">
        <v>202</v>
      </c>
      <c r="D11">
        <v>24</v>
      </c>
      <c r="G11">
        <f>Table11[[#This Row],[RH]]+Table11[[#This Row],[LH]]</f>
        <v>0</v>
      </c>
      <c r="I11" t="str">
        <f>IF(Table1115[[#This Row],[Total]]=0,"",(MAX(I$3:I10)+1)+(MAX(Table11[Line Number])))</f>
        <v/>
      </c>
      <c r="J11" t="s">
        <v>202</v>
      </c>
      <c r="K11">
        <v>24</v>
      </c>
      <c r="N11">
        <f>Table1115[[#This Row],[RH]]+Table1115[[#This Row],[LH]]</f>
        <v>0</v>
      </c>
      <c r="P11" t="str">
        <f>IF(Table1116[[#This Row],[Total]]=0,"",(MAX(P$3:P10)+1)+MAX(Table1115[Line Number]))</f>
        <v/>
      </c>
      <c r="Q11" t="s">
        <v>202</v>
      </c>
      <c r="R11">
        <v>24</v>
      </c>
      <c r="U11">
        <f>Table1116[[#This Row],[RH]]+Table1116[[#This Row],[LH]]</f>
        <v>0</v>
      </c>
      <c r="Y11">
        <v>48</v>
      </c>
      <c r="Z11" t="str">
        <f t="shared" si="0"/>
        <v>4' 0"</v>
      </c>
      <c r="AB11" t="str">
        <f>IF(Table18[[#This Row],[total]]=0,"",(MAX($AB$3:$AB10)+1))</f>
        <v/>
      </c>
      <c r="AC11" t="s">
        <v>202</v>
      </c>
      <c r="AD11">
        <v>24</v>
      </c>
      <c r="AE11">
        <v>80</v>
      </c>
      <c r="AF11">
        <f>Table11[[#This Row],[LH]]</f>
        <v>0</v>
      </c>
      <c r="AG11">
        <f>Table11[[#This Row],[RH]]</f>
        <v>0</v>
      </c>
      <c r="AH11">
        <f>Table18[[#This Row],[RH]]+Table18[[#This Row],[LH]]</f>
        <v>0</v>
      </c>
    </row>
    <row r="12" spans="2:34" x14ac:dyDescent="0.25">
      <c r="B12" t="str">
        <f>IF(Table11[[#This Row],[Total]]=0,"",(MAX(B$3:B11)+1))</f>
        <v/>
      </c>
      <c r="C12" t="s">
        <v>202</v>
      </c>
      <c r="D12">
        <v>26</v>
      </c>
      <c r="G12">
        <f>Table11[[#This Row],[RH]]+Table11[[#This Row],[LH]]</f>
        <v>0</v>
      </c>
      <c r="I12" t="str">
        <f>IF(Table1115[[#This Row],[Total]]=0,"",(MAX(I$3:I11)+1)+(MAX(Table11[Line Number])))</f>
        <v/>
      </c>
      <c r="J12" t="s">
        <v>202</v>
      </c>
      <c r="K12">
        <v>26</v>
      </c>
      <c r="N12">
        <f>Table1115[[#This Row],[RH]]+Table1115[[#This Row],[LH]]</f>
        <v>0</v>
      </c>
      <c r="P12" t="str">
        <f>IF(Table1116[[#This Row],[Total]]=0,"",(MAX(P$3:P11)+1)+MAX(Table1115[Line Number]))</f>
        <v/>
      </c>
      <c r="Q12" t="s">
        <v>202</v>
      </c>
      <c r="R12">
        <v>26</v>
      </c>
      <c r="U12">
        <f>Table1116[[#This Row],[RH]]+Table1116[[#This Row],[LH]]</f>
        <v>0</v>
      </c>
      <c r="Y12">
        <v>60</v>
      </c>
      <c r="Z12" t="str">
        <f t="shared" si="0"/>
        <v>5' 0"</v>
      </c>
      <c r="AB12" t="str">
        <f>IF(Table18[[#This Row],[total]]=0,"",(MAX($AB$3:$AB11)+1))</f>
        <v/>
      </c>
      <c r="AC12" t="s">
        <v>202</v>
      </c>
      <c r="AD12">
        <v>26</v>
      </c>
      <c r="AE12">
        <v>80</v>
      </c>
      <c r="AF12">
        <f>Table11[[#This Row],[LH]]</f>
        <v>0</v>
      </c>
      <c r="AG12">
        <f>Table11[[#This Row],[RH]]</f>
        <v>0</v>
      </c>
      <c r="AH12">
        <f>Table18[[#This Row],[RH]]+Table18[[#This Row],[LH]]</f>
        <v>0</v>
      </c>
    </row>
    <row r="13" spans="2:34" x14ac:dyDescent="0.25">
      <c r="B13" t="str">
        <f>IF(Table11[[#This Row],[Total]]=0,"",(MAX(B$3:B12)+1))</f>
        <v/>
      </c>
      <c r="C13" t="s">
        <v>202</v>
      </c>
      <c r="D13">
        <v>28</v>
      </c>
      <c r="G13">
        <f>Table11[[#This Row],[RH]]+Table11[[#This Row],[LH]]</f>
        <v>0</v>
      </c>
      <c r="I13" t="str">
        <f>IF(Table1115[[#This Row],[Total]]=0,"",(MAX(I$3:I12)+1)+(MAX(Table11[Line Number])))</f>
        <v/>
      </c>
      <c r="J13" t="s">
        <v>202</v>
      </c>
      <c r="K13">
        <v>28</v>
      </c>
      <c r="N13">
        <f>Table1115[[#This Row],[RH]]+Table1115[[#This Row],[LH]]</f>
        <v>0</v>
      </c>
      <c r="P13" t="str">
        <f>IF(Table1116[[#This Row],[Total]]=0,"",(MAX(P$3:P12)+1)+MAX(Table1115[Line Number]))</f>
        <v/>
      </c>
      <c r="Q13" t="s">
        <v>202</v>
      </c>
      <c r="R13">
        <v>28</v>
      </c>
      <c r="U13">
        <f>Table1116[[#This Row],[RH]]+Table1116[[#This Row],[LH]]</f>
        <v>0</v>
      </c>
      <c r="Y13">
        <v>72</v>
      </c>
      <c r="Z13" t="str">
        <f t="shared" si="0"/>
        <v>6' 0"</v>
      </c>
      <c r="AB13" t="str">
        <f>IF(Table18[[#This Row],[total]]=0,"",(MAX($AB$3:$AB12)+1))</f>
        <v/>
      </c>
      <c r="AC13" t="s">
        <v>202</v>
      </c>
      <c r="AD13">
        <v>28</v>
      </c>
      <c r="AE13">
        <v>80</v>
      </c>
      <c r="AF13">
        <f>Table11[[#This Row],[LH]]</f>
        <v>0</v>
      </c>
      <c r="AG13">
        <f>Table11[[#This Row],[RH]]</f>
        <v>0</v>
      </c>
      <c r="AH13">
        <f>Table18[[#This Row],[RH]]+Table18[[#This Row],[LH]]</f>
        <v>0</v>
      </c>
    </row>
    <row r="14" spans="2:34" x14ac:dyDescent="0.25">
      <c r="B14" t="str">
        <f>IF(Table11[[#This Row],[Total]]=0,"",(MAX(B$3:B13)+1))</f>
        <v/>
      </c>
      <c r="C14" t="s">
        <v>202</v>
      </c>
      <c r="D14">
        <v>30</v>
      </c>
      <c r="G14">
        <f>Table11[[#This Row],[RH]]+Table11[[#This Row],[LH]]</f>
        <v>0</v>
      </c>
      <c r="I14" t="str">
        <f>IF(Table1115[[#This Row],[Total]]=0,"",(MAX(I$3:I13)+1)+(MAX(Table11[Line Number])))</f>
        <v/>
      </c>
      <c r="J14" t="s">
        <v>202</v>
      </c>
      <c r="K14">
        <v>30</v>
      </c>
      <c r="N14">
        <f>Table1115[[#This Row],[RH]]+Table1115[[#This Row],[LH]]</f>
        <v>0</v>
      </c>
      <c r="P14" t="str">
        <f>IF(Table1116[[#This Row],[Total]]=0,"",(MAX(P$3:P13)+1)+MAX(Table1115[Line Number]))</f>
        <v/>
      </c>
      <c r="Q14" t="s">
        <v>202</v>
      </c>
      <c r="R14">
        <v>30</v>
      </c>
      <c r="U14">
        <f>Table1116[[#This Row],[RH]]+Table1116[[#This Row],[LH]]</f>
        <v>0</v>
      </c>
      <c r="Y14">
        <v>39</v>
      </c>
      <c r="Z14" t="str">
        <f t="shared" si="0"/>
        <v>3' 3"</v>
      </c>
      <c r="AB14" t="str">
        <f>IF(Table18[[#This Row],[total]]=0,"",(MAX($AB$3:$AB13)+1))</f>
        <v/>
      </c>
      <c r="AC14" t="s">
        <v>202</v>
      </c>
      <c r="AD14">
        <v>30</v>
      </c>
      <c r="AE14">
        <v>80</v>
      </c>
      <c r="AF14">
        <f>Table11[[#This Row],[LH]]</f>
        <v>0</v>
      </c>
      <c r="AG14">
        <f>Table11[[#This Row],[RH]]</f>
        <v>0</v>
      </c>
      <c r="AH14">
        <f>Table18[[#This Row],[RH]]+Table18[[#This Row],[LH]]</f>
        <v>0</v>
      </c>
    </row>
    <row r="15" spans="2:34" x14ac:dyDescent="0.25">
      <c r="B15" t="str">
        <f>IF(Table11[[#This Row],[Total]]=0,"",(MAX(B$3:B14)+1))</f>
        <v/>
      </c>
      <c r="C15" t="s">
        <v>202</v>
      </c>
      <c r="D15">
        <v>32</v>
      </c>
      <c r="G15">
        <f>Table11[[#This Row],[RH]]+Table11[[#This Row],[LH]]</f>
        <v>0</v>
      </c>
      <c r="I15" t="str">
        <f>IF(Table1115[[#This Row],[Total]]=0,"",(MAX(I$3:I14)+1)+(MAX(Table11[Line Number])))</f>
        <v/>
      </c>
      <c r="J15" t="s">
        <v>202</v>
      </c>
      <c r="K15">
        <v>32</v>
      </c>
      <c r="N15">
        <f>Table1115[[#This Row],[RH]]+Table1115[[#This Row],[LH]]</f>
        <v>0</v>
      </c>
      <c r="P15" t="str">
        <f>IF(Table1116[[#This Row],[Total]]=0,"",(MAX(P$3:P14)+1)+MAX(Table1115[Line Number]))</f>
        <v/>
      </c>
      <c r="Q15" t="s">
        <v>202</v>
      </c>
      <c r="R15">
        <v>32</v>
      </c>
      <c r="U15">
        <f>Table1116[[#This Row],[RH]]+Table1116[[#This Row],[LH]]</f>
        <v>0</v>
      </c>
      <c r="Y15">
        <v>42</v>
      </c>
      <c r="Z15" t="str">
        <f t="shared" si="0"/>
        <v>3' 6"</v>
      </c>
      <c r="AB15" t="str">
        <f>IF(Table18[[#This Row],[total]]=0,"",(MAX($AB$3:$AB14)+1))</f>
        <v/>
      </c>
      <c r="AC15" t="s">
        <v>202</v>
      </c>
      <c r="AD15">
        <v>32</v>
      </c>
      <c r="AE15">
        <v>80</v>
      </c>
      <c r="AF15">
        <f>Table11[[#This Row],[LH]]</f>
        <v>0</v>
      </c>
      <c r="AG15">
        <f>Table11[[#This Row],[RH]]</f>
        <v>0</v>
      </c>
      <c r="AH15">
        <f>Table18[[#This Row],[RH]]+Table18[[#This Row],[LH]]</f>
        <v>0</v>
      </c>
    </row>
    <row r="16" spans="2:34" x14ac:dyDescent="0.25">
      <c r="B16" t="str">
        <f>IF(Table11[[#This Row],[Total]]=0,"",(MAX(B$3:B15)+1))</f>
        <v/>
      </c>
      <c r="C16" t="s">
        <v>202</v>
      </c>
      <c r="D16">
        <v>34</v>
      </c>
      <c r="G16">
        <f>Table11[[#This Row],[RH]]+Table11[[#This Row],[LH]]</f>
        <v>0</v>
      </c>
      <c r="I16" t="str">
        <f>IF(Table1115[[#This Row],[Total]]=0,"",(MAX(I$3:I15)+1)+(MAX(Table11[Line Number])))</f>
        <v/>
      </c>
      <c r="J16" t="s">
        <v>202</v>
      </c>
      <c r="K16">
        <v>34</v>
      </c>
      <c r="N16">
        <f>Table1115[[#This Row],[RH]]+Table1115[[#This Row],[LH]]</f>
        <v>0</v>
      </c>
      <c r="P16" t="str">
        <f>IF(Table1116[[#This Row],[Total]]=0,"",(MAX(P$3:P15)+1)+MAX(Table1115[Line Number]))</f>
        <v/>
      </c>
      <c r="Q16" t="s">
        <v>202</v>
      </c>
      <c r="R16">
        <v>34</v>
      </c>
      <c r="U16">
        <f>Table1116[[#This Row],[RH]]+Table1116[[#This Row],[LH]]</f>
        <v>0</v>
      </c>
      <c r="Y16">
        <v>45</v>
      </c>
      <c r="Z16" t="str">
        <f t="shared" si="0"/>
        <v>3' 9"</v>
      </c>
      <c r="AB16" t="str">
        <f>IF(Table18[[#This Row],[total]]=0,"",(MAX($AB$3:$AB15)+1))</f>
        <v/>
      </c>
      <c r="AC16" t="s">
        <v>202</v>
      </c>
      <c r="AD16">
        <v>34</v>
      </c>
      <c r="AE16">
        <v>80</v>
      </c>
      <c r="AF16">
        <f>Table11[[#This Row],[LH]]</f>
        <v>0</v>
      </c>
      <c r="AG16">
        <f>Table11[[#This Row],[RH]]</f>
        <v>0</v>
      </c>
      <c r="AH16">
        <f>Table18[[#This Row],[RH]]+Table18[[#This Row],[LH]]</f>
        <v>0</v>
      </c>
    </row>
    <row r="17" spans="2:34" x14ac:dyDescent="0.25">
      <c r="B17" t="str">
        <f>IF(Table11[[#This Row],[Total]]=0,"",(MAX(B$3:B16)+1))</f>
        <v/>
      </c>
      <c r="C17" t="s">
        <v>202</v>
      </c>
      <c r="D17">
        <v>36</v>
      </c>
      <c r="G17">
        <f>Table11[[#This Row],[RH]]+Table11[[#This Row],[LH]]</f>
        <v>0</v>
      </c>
      <c r="I17" t="str">
        <f>IF(Table1115[[#This Row],[Total]]=0,"",(MAX(I$3:I16)+1)+(MAX(Table11[Line Number])))</f>
        <v/>
      </c>
      <c r="J17" t="s">
        <v>202</v>
      </c>
      <c r="K17">
        <v>36</v>
      </c>
      <c r="N17">
        <f>Table1115[[#This Row],[RH]]+Table1115[[#This Row],[LH]]</f>
        <v>0</v>
      </c>
      <c r="P17" t="str">
        <f>IF(Table1116[[#This Row],[Total]]=0,"",(MAX(P$3:P16)+1)+MAX(Table1115[Line Number]))</f>
        <v/>
      </c>
      <c r="Q17" t="s">
        <v>202</v>
      </c>
      <c r="R17">
        <v>36</v>
      </c>
      <c r="U17">
        <f>Table1116[[#This Row],[RH]]+Table1116[[#This Row],[LH]]</f>
        <v>0</v>
      </c>
      <c r="Y17">
        <v>80</v>
      </c>
      <c r="Z17" t="str">
        <f>INT(Y17/12)&amp;"' "&amp;MOD(Y17,12)&amp;""""</f>
        <v>6' 8"</v>
      </c>
      <c r="AB17" t="str">
        <f>IF(Table18[[#This Row],[total]]=0,"",(MAX($AB$3:$AB16)+1))</f>
        <v/>
      </c>
      <c r="AC17" t="s">
        <v>202</v>
      </c>
      <c r="AD17">
        <v>36</v>
      </c>
      <c r="AE17">
        <v>80</v>
      </c>
      <c r="AF17">
        <f>Table11[[#This Row],[LH]]</f>
        <v>0</v>
      </c>
      <c r="AG17">
        <f>Table11[[#This Row],[RH]]</f>
        <v>0</v>
      </c>
      <c r="AH17">
        <f>Table18[[#This Row],[RH]]+Table18[[#This Row],[LH]]</f>
        <v>0</v>
      </c>
    </row>
    <row r="18" spans="2:34" x14ac:dyDescent="0.25">
      <c r="B18" t="str">
        <f>IF(Table11[[#This Row],[Total]]=0,"",(MAX(B$3:B17)+1))</f>
        <v/>
      </c>
      <c r="C18" t="s">
        <v>201</v>
      </c>
      <c r="D18">
        <v>48</v>
      </c>
      <c r="G18">
        <f>Table11[[#This Row],[RH]]+Table11[[#This Row],[LH]]</f>
        <v>0</v>
      </c>
      <c r="I18" t="str">
        <f>IF(Table1115[[#This Row],[Total]]=0,"",(MAX(I$3:I17)+1)+(MAX(Table11[Line Number])))</f>
        <v/>
      </c>
      <c r="J18" t="s">
        <v>201</v>
      </c>
      <c r="K18">
        <v>48</v>
      </c>
      <c r="N18">
        <f>Table1115[[#This Row],[RH]]+Table1115[[#This Row],[LH]]</f>
        <v>0</v>
      </c>
      <c r="P18" t="str">
        <f>IF(Table1116[[#This Row],[Total]]=0,"",(MAX(P$3:P17)+1)+MAX(Table1115[Line Number]))</f>
        <v/>
      </c>
      <c r="Q18" t="s">
        <v>201</v>
      </c>
      <c r="R18">
        <v>48</v>
      </c>
      <c r="U18">
        <f>Table1116[[#This Row],[RH]]+Table1116[[#This Row],[LH]]</f>
        <v>0</v>
      </c>
      <c r="Y18">
        <v>84</v>
      </c>
      <c r="Z18" t="str">
        <f>INT(Y18/12)&amp;"' "&amp;MOD(Y18,12)&amp;""""</f>
        <v>7' 0"</v>
      </c>
      <c r="AB18" t="str">
        <f>IF(Table18[[#This Row],[total]]=0,"",(MAX($AB$3:$AB17)+1))</f>
        <v/>
      </c>
      <c r="AC18" t="s">
        <v>201</v>
      </c>
      <c r="AD18">
        <v>48</v>
      </c>
      <c r="AE18">
        <v>80</v>
      </c>
      <c r="AF18">
        <f>Table11[[#This Row],[LH]]</f>
        <v>0</v>
      </c>
      <c r="AG18">
        <f>Table11[[#This Row],[RH]]</f>
        <v>0</v>
      </c>
      <c r="AH18">
        <f>Table18[[#This Row],[RH]]+Table18[[#This Row],[LH]]</f>
        <v>0</v>
      </c>
    </row>
    <row r="19" spans="2:34" x14ac:dyDescent="0.25">
      <c r="B19" t="str">
        <f>IF(Table11[[#This Row],[Total]]=0,"",(MAX(B$3:B18)+1))</f>
        <v/>
      </c>
      <c r="C19" t="s">
        <v>201</v>
      </c>
      <c r="D19">
        <v>60</v>
      </c>
      <c r="G19">
        <f>Table11[[#This Row],[RH]]+Table11[[#This Row],[LH]]</f>
        <v>0</v>
      </c>
      <c r="I19" t="str">
        <f>IF(Table1115[[#This Row],[Total]]=0,"",(MAX(I$3:I18)+1)+(MAX(Table11[Line Number])))</f>
        <v/>
      </c>
      <c r="J19" t="s">
        <v>201</v>
      </c>
      <c r="K19">
        <v>60</v>
      </c>
      <c r="N19">
        <f>Table1115[[#This Row],[RH]]+Table1115[[#This Row],[LH]]</f>
        <v>0</v>
      </c>
      <c r="P19" t="str">
        <f>IF(Table1116[[#This Row],[Total]]=0,"",(MAX(P$3:P18)+1)+MAX(Table1115[Line Number]))</f>
        <v/>
      </c>
      <c r="Q19" t="s">
        <v>201</v>
      </c>
      <c r="R19">
        <v>60</v>
      </c>
      <c r="U19">
        <f>Table1116[[#This Row],[RH]]+Table1116[[#This Row],[LH]]</f>
        <v>0</v>
      </c>
      <c r="Y19">
        <v>96</v>
      </c>
      <c r="Z19" t="str">
        <f>INT(Y19/12)&amp;"' "&amp;MOD(Y19,12)&amp;""""</f>
        <v>8' 0"</v>
      </c>
      <c r="AB19" t="str">
        <f>IF(Table18[[#This Row],[total]]=0,"",(MAX($AB$3:$AB18)+1))</f>
        <v/>
      </c>
      <c r="AC19" t="s">
        <v>201</v>
      </c>
      <c r="AD19">
        <v>60</v>
      </c>
      <c r="AE19">
        <v>80</v>
      </c>
      <c r="AF19">
        <f>Table11[[#This Row],[LH]]</f>
        <v>0</v>
      </c>
      <c r="AG19">
        <f>Table11[[#This Row],[RH]]</f>
        <v>0</v>
      </c>
      <c r="AH19">
        <f>Table18[[#This Row],[RH]]+Table18[[#This Row],[LH]]</f>
        <v>0</v>
      </c>
    </row>
    <row r="20" spans="2:34" x14ac:dyDescent="0.25">
      <c r="B20" t="str">
        <f>IF(Table11[[#This Row],[Total]]=0,"",(MAX(B$3:B19)+1))</f>
        <v/>
      </c>
      <c r="C20" t="s">
        <v>201</v>
      </c>
      <c r="D20">
        <v>72</v>
      </c>
      <c r="G20">
        <f>Table11[[#This Row],[RH]]+Table11[[#This Row],[LH]]</f>
        <v>0</v>
      </c>
      <c r="I20" t="str">
        <f>IF(Table1115[[#This Row],[Total]]=0,"",(MAX(I$3:I19)+1)+(MAX(Table11[Line Number])))</f>
        <v/>
      </c>
      <c r="J20" t="s">
        <v>201</v>
      </c>
      <c r="K20">
        <v>72</v>
      </c>
      <c r="N20">
        <f>Table1115[[#This Row],[RH]]+Table1115[[#This Row],[LH]]</f>
        <v>0</v>
      </c>
      <c r="P20" t="str">
        <f>IF(Table1116[[#This Row],[Total]]=0,"",(MAX(P$3:P19)+1)+MAX(Table1115[Line Number]))</f>
        <v/>
      </c>
      <c r="Q20" t="s">
        <v>201</v>
      </c>
      <c r="R20">
        <v>72</v>
      </c>
      <c r="U20">
        <f>Table1116[[#This Row],[RH]]+Table1116[[#This Row],[LH]]</f>
        <v>0</v>
      </c>
      <c r="AB20" t="str">
        <f>IF(Table18[[#This Row],[total]]=0,"",(MAX($AB$3:$AB19)+1))</f>
        <v/>
      </c>
      <c r="AC20" t="s">
        <v>201</v>
      </c>
      <c r="AD20">
        <v>72</v>
      </c>
      <c r="AE20">
        <v>80</v>
      </c>
      <c r="AF20">
        <f>Table11[[#This Row],[LH]]</f>
        <v>0</v>
      </c>
      <c r="AG20">
        <f>Table11[[#This Row],[RH]]</f>
        <v>0</v>
      </c>
      <c r="AH20">
        <f>Table18[[#This Row],[RH]]+Table18[[#This Row],[LH]]</f>
        <v>0</v>
      </c>
    </row>
    <row r="21" spans="2:34" x14ac:dyDescent="0.25">
      <c r="B21" t="str">
        <f>IF(Table11[[#This Row],[Total]]=0,"",(MAX(B$3:B20)+1))</f>
        <v/>
      </c>
      <c r="C21" t="s">
        <v>203</v>
      </c>
      <c r="D21">
        <v>24</v>
      </c>
      <c r="G21">
        <f>Table11[[#This Row],[RH]]+Table11[[#This Row],[LH]]</f>
        <v>0</v>
      </c>
      <c r="I21" t="str">
        <f>IF(Table1115[[#This Row],[Total]]=0,"",(MAX(I$3:I20)+1)+(MAX(Table11[Line Number])))</f>
        <v/>
      </c>
      <c r="J21" t="s">
        <v>203</v>
      </c>
      <c r="K21">
        <v>24</v>
      </c>
      <c r="N21">
        <f>Table1115[[#This Row],[RH]]+Table1115[[#This Row],[LH]]</f>
        <v>0</v>
      </c>
      <c r="P21" t="str">
        <f>IF(Table1116[[#This Row],[Total]]=0,"",(MAX(P$3:P20)+1)+MAX(Table1115[Line Number]))</f>
        <v/>
      </c>
      <c r="Q21" t="s">
        <v>203</v>
      </c>
      <c r="R21">
        <v>24</v>
      </c>
      <c r="U21">
        <f>Table1116[[#This Row],[RH]]+Table1116[[#This Row],[LH]]</f>
        <v>0</v>
      </c>
      <c r="AB21" t="str">
        <f>IF(Table18[[#This Row],[total]]=0,"",(MAX($AB$3:$AB20)+1))</f>
        <v/>
      </c>
      <c r="AC21" t="s">
        <v>203</v>
      </c>
      <c r="AD21">
        <v>24</v>
      </c>
      <c r="AE21">
        <v>80</v>
      </c>
      <c r="AF21">
        <f>Table11[[#This Row],[LH]]</f>
        <v>0</v>
      </c>
      <c r="AG21">
        <f>Table11[[#This Row],[RH]]</f>
        <v>0</v>
      </c>
      <c r="AH21">
        <f>Table18[[#This Row],[RH]]+Table18[[#This Row],[LH]]</f>
        <v>0</v>
      </c>
    </row>
    <row r="22" spans="2:34" x14ac:dyDescent="0.25">
      <c r="B22" t="str">
        <f>IF(Table11[[#This Row],[Total]]=0,"",(MAX(B$3:B21)+1))</f>
        <v/>
      </c>
      <c r="C22" t="s">
        <v>203</v>
      </c>
      <c r="D22">
        <v>26</v>
      </c>
      <c r="G22">
        <f>Table11[[#This Row],[RH]]+Table11[[#This Row],[LH]]</f>
        <v>0</v>
      </c>
      <c r="I22" t="str">
        <f>IF(Table1115[[#This Row],[Total]]=0,"",(MAX(I$3:I21)+1)+(MAX(Table11[Line Number])))</f>
        <v/>
      </c>
      <c r="J22" t="s">
        <v>203</v>
      </c>
      <c r="K22">
        <v>26</v>
      </c>
      <c r="N22">
        <f>Table1115[[#This Row],[RH]]+Table1115[[#This Row],[LH]]</f>
        <v>0</v>
      </c>
      <c r="P22" t="str">
        <f>IF(Table1116[[#This Row],[Total]]=0,"",(MAX(P$3:P21)+1)+MAX(Table1115[Line Number]))</f>
        <v/>
      </c>
      <c r="Q22" t="s">
        <v>203</v>
      </c>
      <c r="R22">
        <v>26</v>
      </c>
      <c r="U22">
        <f>Table1116[[#This Row],[RH]]+Table1116[[#This Row],[LH]]</f>
        <v>0</v>
      </c>
      <c r="AB22" t="str">
        <f>IF(Table18[[#This Row],[total]]=0,"",(MAX($AB$3:$AB21)+1))</f>
        <v/>
      </c>
      <c r="AC22" t="s">
        <v>203</v>
      </c>
      <c r="AD22">
        <v>26</v>
      </c>
      <c r="AE22">
        <v>80</v>
      </c>
      <c r="AF22">
        <f>Table11[[#This Row],[LH]]</f>
        <v>0</v>
      </c>
      <c r="AG22">
        <f>Table11[[#This Row],[RH]]</f>
        <v>0</v>
      </c>
      <c r="AH22">
        <f>Table18[[#This Row],[RH]]+Table18[[#This Row],[LH]]</f>
        <v>0</v>
      </c>
    </row>
    <row r="23" spans="2:34" x14ac:dyDescent="0.25">
      <c r="B23" t="str">
        <f>IF(Table11[[#This Row],[Total]]=0,"",(MAX(B$3:B22)+1))</f>
        <v/>
      </c>
      <c r="C23" t="s">
        <v>203</v>
      </c>
      <c r="D23">
        <v>28</v>
      </c>
      <c r="G23">
        <f>Table11[[#This Row],[RH]]+Table11[[#This Row],[LH]]</f>
        <v>0</v>
      </c>
      <c r="I23" t="str">
        <f>IF(Table1115[[#This Row],[Total]]=0,"",(MAX(I$3:I22)+1)+(MAX(Table11[Line Number])))</f>
        <v/>
      </c>
      <c r="J23" t="s">
        <v>203</v>
      </c>
      <c r="K23">
        <v>28</v>
      </c>
      <c r="N23">
        <f>Table1115[[#This Row],[RH]]+Table1115[[#This Row],[LH]]</f>
        <v>0</v>
      </c>
      <c r="P23" t="str">
        <f>IF(Table1116[[#This Row],[Total]]=0,"",(MAX(P$3:P22)+1)+MAX(Table1115[Line Number]))</f>
        <v/>
      </c>
      <c r="Q23" t="s">
        <v>203</v>
      </c>
      <c r="R23">
        <v>28</v>
      </c>
      <c r="U23">
        <f>Table1116[[#This Row],[RH]]+Table1116[[#This Row],[LH]]</f>
        <v>0</v>
      </c>
      <c r="AB23" t="str">
        <f>IF(Table18[[#This Row],[total]]=0,"",(MAX($AB$3:$AB22)+1))</f>
        <v/>
      </c>
      <c r="AC23" t="s">
        <v>203</v>
      </c>
      <c r="AD23">
        <v>28</v>
      </c>
      <c r="AE23">
        <v>80</v>
      </c>
      <c r="AF23">
        <f>Table11[[#This Row],[LH]]</f>
        <v>0</v>
      </c>
      <c r="AG23">
        <f>Table11[[#This Row],[RH]]</f>
        <v>0</v>
      </c>
      <c r="AH23">
        <f>Table18[[#This Row],[RH]]+Table18[[#This Row],[LH]]</f>
        <v>0</v>
      </c>
    </row>
    <row r="24" spans="2:34" x14ac:dyDescent="0.25">
      <c r="B24" t="str">
        <f>IF(Table11[[#This Row],[Total]]=0,"",(MAX(B$3:B23)+1))</f>
        <v/>
      </c>
      <c r="C24" t="s">
        <v>203</v>
      </c>
      <c r="D24">
        <v>30</v>
      </c>
      <c r="G24">
        <f>Table11[[#This Row],[RH]]+Table11[[#This Row],[LH]]</f>
        <v>0</v>
      </c>
      <c r="I24" t="str">
        <f>IF(Table1115[[#This Row],[Total]]=0,"",(MAX(I$3:I23)+1)+(MAX(Table11[Line Number])))</f>
        <v/>
      </c>
      <c r="J24" t="s">
        <v>203</v>
      </c>
      <c r="K24">
        <v>30</v>
      </c>
      <c r="N24">
        <f>Table1115[[#This Row],[RH]]+Table1115[[#This Row],[LH]]</f>
        <v>0</v>
      </c>
      <c r="P24" t="str">
        <f>IF(Table1116[[#This Row],[Total]]=0,"",(MAX(P$3:P23)+1)+MAX(Table1115[Line Number]))</f>
        <v/>
      </c>
      <c r="Q24" t="s">
        <v>203</v>
      </c>
      <c r="R24">
        <v>30</v>
      </c>
      <c r="U24">
        <f>Table1116[[#This Row],[RH]]+Table1116[[#This Row],[LH]]</f>
        <v>0</v>
      </c>
      <c r="AB24" t="str">
        <f>IF(Table18[[#This Row],[total]]=0,"",(MAX($AB$3:$AB23)+1))</f>
        <v/>
      </c>
      <c r="AC24" t="s">
        <v>203</v>
      </c>
      <c r="AD24">
        <v>30</v>
      </c>
      <c r="AE24">
        <v>80</v>
      </c>
      <c r="AF24">
        <f>Table11[[#This Row],[LH]]</f>
        <v>0</v>
      </c>
      <c r="AG24">
        <f>Table11[[#This Row],[RH]]</f>
        <v>0</v>
      </c>
      <c r="AH24">
        <f>Table18[[#This Row],[RH]]+Table18[[#This Row],[LH]]</f>
        <v>0</v>
      </c>
    </row>
    <row r="25" spans="2:34" x14ac:dyDescent="0.25">
      <c r="B25" t="str">
        <f>IF(Table11[[#This Row],[Total]]=0,"",(MAX(B$3:B24)+1))</f>
        <v/>
      </c>
      <c r="C25" t="s">
        <v>203</v>
      </c>
      <c r="D25">
        <v>32</v>
      </c>
      <c r="G25">
        <f>Table11[[#This Row],[RH]]+Table11[[#This Row],[LH]]</f>
        <v>0</v>
      </c>
      <c r="I25" t="str">
        <f>IF(Table1115[[#This Row],[Total]]=0,"",(MAX(I$3:I24)+1)+(MAX(Table11[Line Number])))</f>
        <v/>
      </c>
      <c r="J25" t="s">
        <v>203</v>
      </c>
      <c r="K25">
        <v>32</v>
      </c>
      <c r="N25">
        <f>Table1115[[#This Row],[RH]]+Table1115[[#This Row],[LH]]</f>
        <v>0</v>
      </c>
      <c r="P25" t="str">
        <f>IF(Table1116[[#This Row],[Total]]=0,"",(MAX(P$3:P24)+1)+MAX(Table1115[Line Number]))</f>
        <v/>
      </c>
      <c r="Q25" t="s">
        <v>203</v>
      </c>
      <c r="R25">
        <v>32</v>
      </c>
      <c r="U25">
        <f>Table1116[[#This Row],[RH]]+Table1116[[#This Row],[LH]]</f>
        <v>0</v>
      </c>
      <c r="AB25" t="str">
        <f>IF(Table18[[#This Row],[total]]=0,"",(MAX($AB$3:$AB24)+1))</f>
        <v/>
      </c>
      <c r="AC25" t="s">
        <v>203</v>
      </c>
      <c r="AD25">
        <v>32</v>
      </c>
      <c r="AE25">
        <v>80</v>
      </c>
      <c r="AF25">
        <f>Table11[[#This Row],[LH]]</f>
        <v>0</v>
      </c>
      <c r="AG25">
        <f>Table11[[#This Row],[RH]]</f>
        <v>0</v>
      </c>
      <c r="AH25">
        <f>Table18[[#This Row],[RH]]+Table18[[#This Row],[LH]]</f>
        <v>0</v>
      </c>
    </row>
    <row r="26" spans="2:34" x14ac:dyDescent="0.25">
      <c r="B26" t="str">
        <f>IF(Table11[[#This Row],[Total]]=0,"",(MAX(B$3:B25)+1))</f>
        <v/>
      </c>
      <c r="C26" t="s">
        <v>203</v>
      </c>
      <c r="D26">
        <v>34</v>
      </c>
      <c r="G26">
        <f>Table11[[#This Row],[RH]]+Table11[[#This Row],[LH]]</f>
        <v>0</v>
      </c>
      <c r="I26" t="str">
        <f>IF(Table1115[[#This Row],[Total]]=0,"",(MAX(I$3:I25)+1)+(MAX(Table11[Line Number])))</f>
        <v/>
      </c>
      <c r="J26" t="s">
        <v>203</v>
      </c>
      <c r="K26">
        <v>34</v>
      </c>
      <c r="N26">
        <f>Table1115[[#This Row],[RH]]+Table1115[[#This Row],[LH]]</f>
        <v>0</v>
      </c>
      <c r="P26" t="str">
        <f>IF(Table1116[[#This Row],[Total]]=0,"",(MAX(P$3:P25)+1)+MAX(Table1115[Line Number]))</f>
        <v/>
      </c>
      <c r="Q26" t="s">
        <v>203</v>
      </c>
      <c r="R26">
        <v>34</v>
      </c>
      <c r="U26">
        <f>Table1116[[#This Row],[RH]]+Table1116[[#This Row],[LH]]</f>
        <v>0</v>
      </c>
      <c r="AB26" t="str">
        <f>IF(Table18[[#This Row],[total]]=0,"",(MAX($AB$3:$AB25)+1))</f>
        <v/>
      </c>
      <c r="AC26" t="s">
        <v>203</v>
      </c>
      <c r="AD26">
        <v>34</v>
      </c>
      <c r="AE26">
        <v>80</v>
      </c>
      <c r="AF26">
        <f>Table11[[#This Row],[LH]]</f>
        <v>0</v>
      </c>
      <c r="AG26">
        <f>Table11[[#This Row],[RH]]</f>
        <v>0</v>
      </c>
      <c r="AH26">
        <f>Table18[[#This Row],[RH]]+Table18[[#This Row],[LH]]</f>
        <v>0</v>
      </c>
    </row>
    <row r="27" spans="2:34" x14ac:dyDescent="0.25">
      <c r="B27" t="str">
        <f>IF(Table11[[#This Row],[Total]]=0,"",(MAX(B$3:B26)+1))</f>
        <v/>
      </c>
      <c r="C27" t="s">
        <v>203</v>
      </c>
      <c r="D27">
        <v>36</v>
      </c>
      <c r="G27">
        <f>Table11[[#This Row],[RH]]+Table11[[#This Row],[LH]]</f>
        <v>0</v>
      </c>
      <c r="I27" t="str">
        <f>IF(Table1115[[#This Row],[Total]]=0,"",(MAX(I$3:I26)+1)+(MAX(Table11[Line Number])))</f>
        <v/>
      </c>
      <c r="J27" t="s">
        <v>203</v>
      </c>
      <c r="K27">
        <v>36</v>
      </c>
      <c r="N27">
        <f>Table1115[[#This Row],[RH]]+Table1115[[#This Row],[LH]]</f>
        <v>0</v>
      </c>
      <c r="P27" t="str">
        <f>IF(Table1116[[#This Row],[Total]]=0,"",(MAX(P$3:P26)+1)+MAX(Table1115[Line Number]))</f>
        <v/>
      </c>
      <c r="Q27" t="s">
        <v>203</v>
      </c>
      <c r="R27">
        <v>36</v>
      </c>
      <c r="U27">
        <f>Table1116[[#This Row],[RH]]+Table1116[[#This Row],[LH]]</f>
        <v>0</v>
      </c>
      <c r="AB27" t="str">
        <f>IF(Table18[[#This Row],[total]]=0,"",(MAX($AB$3:$AB26)+1))</f>
        <v/>
      </c>
      <c r="AC27" t="s">
        <v>203</v>
      </c>
      <c r="AD27">
        <v>36</v>
      </c>
      <c r="AE27">
        <v>80</v>
      </c>
      <c r="AF27">
        <f>Table11[[#This Row],[LH]]</f>
        <v>0</v>
      </c>
      <c r="AG27">
        <f>Table11[[#This Row],[RH]]</f>
        <v>0</v>
      </c>
      <c r="AH27">
        <f>Table18[[#This Row],[RH]]+Table18[[#This Row],[LH]]</f>
        <v>0</v>
      </c>
    </row>
    <row r="28" spans="2:34" x14ac:dyDescent="0.25">
      <c r="B28" t="str">
        <f>IF(Table11[[#This Row],[Total]]=0,"",(MAX(B$3:B27)+1))</f>
        <v/>
      </c>
      <c r="C28" t="s">
        <v>204</v>
      </c>
      <c r="D28">
        <v>30</v>
      </c>
      <c r="G28">
        <f>Table11[[#This Row],[RH]]+Table11[[#This Row],[LH]]</f>
        <v>0</v>
      </c>
      <c r="I28" t="str">
        <f>IF(Table1115[[#This Row],[Total]]=0,"",(MAX(I$3:I27)+1)+(MAX(Table11[Line Number])))</f>
        <v/>
      </c>
      <c r="J28" t="s">
        <v>204</v>
      </c>
      <c r="K28">
        <v>30</v>
      </c>
      <c r="N28">
        <f>Table1115[[#This Row],[RH]]+Table1115[[#This Row],[LH]]</f>
        <v>0</v>
      </c>
      <c r="P28" t="str">
        <f>IF(Table1116[[#This Row],[Total]]=0,"",(MAX(P$3:P27)+1)+MAX(Table1115[Line Number]))</f>
        <v/>
      </c>
      <c r="Q28" t="s">
        <v>204</v>
      </c>
      <c r="R28">
        <v>30</v>
      </c>
      <c r="U28">
        <f>Table1116[[#This Row],[RH]]+Table1116[[#This Row],[LH]]</f>
        <v>0</v>
      </c>
      <c r="AB28" t="str">
        <f>IF(Table18[[#This Row],[total]]=0,"",(MAX($AB$3:$AB27)+1))</f>
        <v/>
      </c>
      <c r="AC28" t="s">
        <v>204</v>
      </c>
      <c r="AD28">
        <v>30</v>
      </c>
      <c r="AE28">
        <v>80</v>
      </c>
      <c r="AF28">
        <f>Table11[[#This Row],[LH]]</f>
        <v>0</v>
      </c>
      <c r="AG28">
        <f>Table11[[#This Row],[RH]]</f>
        <v>0</v>
      </c>
      <c r="AH28">
        <f>Table18[[#This Row],[RH]]+Table18[[#This Row],[LH]]</f>
        <v>0</v>
      </c>
    </row>
    <row r="29" spans="2:34" x14ac:dyDescent="0.25">
      <c r="B29" t="str">
        <f>IF(Table11[[#This Row],[Total]]=0,"",(MAX(B$3:B28)+1))</f>
        <v/>
      </c>
      <c r="C29" t="s">
        <v>204</v>
      </c>
      <c r="D29">
        <v>32</v>
      </c>
      <c r="G29">
        <f>Table11[[#This Row],[RH]]+Table11[[#This Row],[LH]]</f>
        <v>0</v>
      </c>
      <c r="I29" t="str">
        <f>IF(Table1115[[#This Row],[Total]]=0,"",(MAX(I$3:I28)+1)+(MAX(Table11[Line Number])))</f>
        <v/>
      </c>
      <c r="J29" t="s">
        <v>204</v>
      </c>
      <c r="K29">
        <v>32</v>
      </c>
      <c r="N29">
        <f>Table1115[[#This Row],[RH]]+Table1115[[#This Row],[LH]]</f>
        <v>0</v>
      </c>
      <c r="P29" t="str">
        <f>IF(Table1116[[#This Row],[Total]]=0,"",(MAX(P$3:P28)+1)+MAX(Table1115[Line Number]))</f>
        <v/>
      </c>
      <c r="Q29" t="s">
        <v>204</v>
      </c>
      <c r="R29">
        <v>32</v>
      </c>
      <c r="U29">
        <f>Table1116[[#This Row],[RH]]+Table1116[[#This Row],[LH]]</f>
        <v>0</v>
      </c>
      <c r="AB29" t="str">
        <f>IF(Table18[[#This Row],[total]]=0,"",(MAX($AB$3:$AB28)+1))</f>
        <v/>
      </c>
      <c r="AC29" t="s">
        <v>204</v>
      </c>
      <c r="AD29">
        <v>32</v>
      </c>
      <c r="AE29">
        <v>80</v>
      </c>
      <c r="AF29">
        <f>Table11[[#This Row],[LH]]</f>
        <v>0</v>
      </c>
      <c r="AG29">
        <f>Table11[[#This Row],[RH]]</f>
        <v>0</v>
      </c>
      <c r="AH29">
        <f>Table18[[#This Row],[RH]]+Table18[[#This Row],[LH]]</f>
        <v>0</v>
      </c>
    </row>
    <row r="30" spans="2:34" x14ac:dyDescent="0.25">
      <c r="B30" t="str">
        <f>IF(Table11[[#This Row],[Total]]=0,"",(MAX(B$3:B29)+1))</f>
        <v/>
      </c>
      <c r="C30" t="s">
        <v>204</v>
      </c>
      <c r="D30">
        <v>34</v>
      </c>
      <c r="G30">
        <f>Table11[[#This Row],[RH]]+Table11[[#This Row],[LH]]</f>
        <v>0</v>
      </c>
      <c r="I30" t="str">
        <f>IF(Table1115[[#This Row],[Total]]=0,"",(MAX(I$3:I29)+1)+(MAX(Table11[Line Number])))</f>
        <v/>
      </c>
      <c r="J30" t="s">
        <v>204</v>
      </c>
      <c r="K30">
        <v>34</v>
      </c>
      <c r="N30">
        <f>Table1115[[#This Row],[RH]]+Table1115[[#This Row],[LH]]</f>
        <v>0</v>
      </c>
      <c r="P30" t="str">
        <f>IF(Table1116[[#This Row],[Total]]=0,"",(MAX(P$3:P29)+1)+MAX(Table1115[Line Number]))</f>
        <v/>
      </c>
      <c r="Q30" t="s">
        <v>204</v>
      </c>
      <c r="R30">
        <v>34</v>
      </c>
      <c r="U30">
        <f>Table1116[[#This Row],[RH]]+Table1116[[#This Row],[LH]]</f>
        <v>0</v>
      </c>
      <c r="AB30" t="str">
        <f>IF(Table18[[#This Row],[total]]=0,"",(MAX($AB$3:$AB29)+1))</f>
        <v/>
      </c>
      <c r="AC30" t="s">
        <v>204</v>
      </c>
      <c r="AD30">
        <v>34</v>
      </c>
      <c r="AE30">
        <v>80</v>
      </c>
      <c r="AF30">
        <f>Table11[[#This Row],[LH]]</f>
        <v>0</v>
      </c>
      <c r="AG30">
        <f>Table11[[#This Row],[RH]]</f>
        <v>0</v>
      </c>
      <c r="AH30">
        <f>Table18[[#This Row],[RH]]+Table18[[#This Row],[LH]]</f>
        <v>0</v>
      </c>
    </row>
    <row r="31" spans="2:34" x14ac:dyDescent="0.25">
      <c r="B31" t="str">
        <f>IF(Table11[[#This Row],[Total]]=0,"",(MAX(B$3:B30)+1))</f>
        <v/>
      </c>
      <c r="C31" t="s">
        <v>204</v>
      </c>
      <c r="D31">
        <v>36</v>
      </c>
      <c r="G31">
        <f>Table11[[#This Row],[RH]]+Table11[[#This Row],[LH]]</f>
        <v>0</v>
      </c>
      <c r="I31" t="str">
        <f>IF(Table1115[[#This Row],[Total]]=0,"",(MAX(I$3:I30)+1)+(MAX(Table11[Line Number])))</f>
        <v/>
      </c>
      <c r="J31" t="s">
        <v>204</v>
      </c>
      <c r="K31">
        <v>36</v>
      </c>
      <c r="N31">
        <f>Table1115[[#This Row],[RH]]+Table1115[[#This Row],[LH]]</f>
        <v>0</v>
      </c>
      <c r="P31" t="str">
        <f>IF(Table1116[[#This Row],[Total]]=0,"",(MAX(P$3:P30)+1)+MAX(Table1115[Line Number]))</f>
        <v/>
      </c>
      <c r="Q31" t="s">
        <v>204</v>
      </c>
      <c r="R31">
        <v>36</v>
      </c>
      <c r="U31">
        <f>Table1116[[#This Row],[RH]]+Table1116[[#This Row],[LH]]</f>
        <v>0</v>
      </c>
      <c r="AB31" t="str">
        <f>IF(Table18[[#This Row],[total]]=0,"",(MAX($AB$3:$AB30)+1))</f>
        <v/>
      </c>
      <c r="AC31" t="s">
        <v>204</v>
      </c>
      <c r="AD31">
        <v>36</v>
      </c>
      <c r="AE31">
        <v>80</v>
      </c>
      <c r="AF31">
        <f>Table11[[#This Row],[LH]]</f>
        <v>0</v>
      </c>
      <c r="AG31">
        <f>Table11[[#This Row],[RH]]</f>
        <v>0</v>
      </c>
      <c r="AH31">
        <f>Table18[[#This Row],[RH]]+Table18[[#This Row],[LH]]</f>
        <v>0</v>
      </c>
    </row>
    <row r="32" spans="2:34" x14ac:dyDescent="0.25">
      <c r="B32" t="str">
        <f>IF(Table11[[#This Row],[Total]]=0,"",(MAX(B$3:B31)+1))</f>
        <v/>
      </c>
      <c r="C32" t="s">
        <v>204</v>
      </c>
      <c r="D32">
        <v>39</v>
      </c>
      <c r="G32">
        <f>Table11[[#This Row],[RH]]+Table11[[#This Row],[LH]]</f>
        <v>0</v>
      </c>
      <c r="I32" t="str">
        <f>IF(Table1115[[#This Row],[Total]]=0,"",(MAX(I$3:I31)+1)+(MAX(Table11[Line Number])))</f>
        <v/>
      </c>
      <c r="J32" t="s">
        <v>204</v>
      </c>
      <c r="K32">
        <v>39</v>
      </c>
      <c r="N32">
        <f>Table1115[[#This Row],[RH]]+Table1115[[#This Row],[LH]]</f>
        <v>0</v>
      </c>
      <c r="P32" t="str">
        <f>IF(Table1116[[#This Row],[Total]]=0,"",(MAX(P$3:P31)+1)+MAX(Table1115[Line Number]))</f>
        <v/>
      </c>
      <c r="Q32" t="s">
        <v>204</v>
      </c>
      <c r="R32">
        <v>39</v>
      </c>
      <c r="U32">
        <f>Table1116[[#This Row],[RH]]+Table1116[[#This Row],[LH]]</f>
        <v>0</v>
      </c>
      <c r="AB32" t="str">
        <f>IF(Table18[[#This Row],[total]]=0,"",(MAX($AB$3:$AB31)+1))</f>
        <v/>
      </c>
      <c r="AC32" t="s">
        <v>204</v>
      </c>
      <c r="AD32">
        <v>39</v>
      </c>
      <c r="AE32">
        <v>80</v>
      </c>
      <c r="AF32">
        <f>Table11[[#This Row],[LH]]</f>
        <v>0</v>
      </c>
      <c r="AG32">
        <f>Table11[[#This Row],[RH]]</f>
        <v>0</v>
      </c>
      <c r="AH32">
        <f>Table18[[#This Row],[RH]]+Table18[[#This Row],[LH]]</f>
        <v>0</v>
      </c>
    </row>
    <row r="33" spans="2:34" x14ac:dyDescent="0.25">
      <c r="B33" t="str">
        <f>IF(Table11[[#This Row],[Total]]=0,"",(MAX(B$3:B32)+1))</f>
        <v/>
      </c>
      <c r="C33" t="s">
        <v>204</v>
      </c>
      <c r="D33">
        <v>42</v>
      </c>
      <c r="G33">
        <f>Table11[[#This Row],[RH]]+Table11[[#This Row],[LH]]</f>
        <v>0</v>
      </c>
      <c r="I33" t="str">
        <f>IF(Table1115[[#This Row],[Total]]=0,"",(MAX(I$3:I32)+1)+(MAX(Table11[Line Number])))</f>
        <v/>
      </c>
      <c r="J33" t="s">
        <v>204</v>
      </c>
      <c r="K33">
        <v>42</v>
      </c>
      <c r="N33">
        <f>Table1115[[#This Row],[RH]]+Table1115[[#This Row],[LH]]</f>
        <v>0</v>
      </c>
      <c r="P33" t="str">
        <f>IF(Table1116[[#This Row],[Total]]=0,"",(MAX(P$3:P32)+1)+MAX(Table1115[Line Number]))</f>
        <v/>
      </c>
      <c r="Q33" t="s">
        <v>204</v>
      </c>
      <c r="R33">
        <v>42</v>
      </c>
      <c r="U33">
        <f>Table1116[[#This Row],[RH]]+Table1116[[#This Row],[LH]]</f>
        <v>0</v>
      </c>
      <c r="AB33" t="str">
        <f>IF(Table18[[#This Row],[total]]=0,"",(MAX($AB$3:$AB32)+1))</f>
        <v/>
      </c>
      <c r="AC33" t="s">
        <v>204</v>
      </c>
      <c r="AD33">
        <v>42</v>
      </c>
      <c r="AE33">
        <v>80</v>
      </c>
      <c r="AF33">
        <f>Table11[[#This Row],[LH]]</f>
        <v>0</v>
      </c>
      <c r="AG33">
        <f>Table11[[#This Row],[RH]]</f>
        <v>0</v>
      </c>
      <c r="AH33">
        <f>Table18[[#This Row],[RH]]+Table18[[#This Row],[LH]]</f>
        <v>0</v>
      </c>
    </row>
    <row r="34" spans="2:34" x14ac:dyDescent="0.25">
      <c r="B34" t="str">
        <f>IF(Table11[[#This Row],[Total]]=0,"",(MAX(B$3:B33)+1))</f>
        <v/>
      </c>
      <c r="C34" t="s">
        <v>204</v>
      </c>
      <c r="D34">
        <v>45</v>
      </c>
      <c r="G34">
        <f>Table11[[#This Row],[RH]]+Table11[[#This Row],[LH]]</f>
        <v>0</v>
      </c>
      <c r="I34" t="str">
        <f>IF(Table1115[[#This Row],[Total]]=0,"",(MAX(I$3:I33)+1)+(MAX(Table11[Line Number])))</f>
        <v/>
      </c>
      <c r="J34" t="s">
        <v>204</v>
      </c>
      <c r="K34">
        <v>45</v>
      </c>
      <c r="N34">
        <f>Table1115[[#This Row],[RH]]+Table1115[[#This Row],[LH]]</f>
        <v>0</v>
      </c>
      <c r="P34" t="str">
        <f>IF(Table1116[[#This Row],[Total]]=0,"",(MAX(P$3:P33)+1)+MAX(Table1115[Line Number]))</f>
        <v/>
      </c>
      <c r="Q34" t="s">
        <v>204</v>
      </c>
      <c r="R34">
        <v>45</v>
      </c>
      <c r="U34">
        <f>Table1116[[#This Row],[RH]]+Table1116[[#This Row],[LH]]</f>
        <v>0</v>
      </c>
      <c r="AB34" t="str">
        <f>IF(Table18[[#This Row],[total]]=0,"",(MAX($AB$3:$AB33)+1))</f>
        <v/>
      </c>
      <c r="AC34" t="s">
        <v>204</v>
      </c>
      <c r="AD34">
        <v>45</v>
      </c>
      <c r="AE34">
        <v>80</v>
      </c>
      <c r="AF34">
        <f>Table11[[#This Row],[LH]]</f>
        <v>0</v>
      </c>
      <c r="AG34">
        <f>Table11[[#This Row],[RH]]</f>
        <v>0</v>
      </c>
      <c r="AH34">
        <f>Table18[[#This Row],[RH]]+Table18[[#This Row],[LH]]</f>
        <v>0</v>
      </c>
    </row>
    <row r="35" spans="2:34" x14ac:dyDescent="0.25">
      <c r="B35" t="str">
        <f>IF(Table11[[#This Row],[Total]]=0,"",(MAX(B$3:B34)+1))</f>
        <v/>
      </c>
      <c r="C35" t="s">
        <v>204</v>
      </c>
      <c r="D35">
        <v>48</v>
      </c>
      <c r="G35">
        <f>Table11[[#This Row],[RH]]+Table11[[#This Row],[LH]]</f>
        <v>0</v>
      </c>
      <c r="I35" t="str">
        <f>IF(Table1115[[#This Row],[Total]]=0,"",(MAX(I$3:I34)+1)+(MAX(Table11[Line Number])))</f>
        <v/>
      </c>
      <c r="J35" t="s">
        <v>204</v>
      </c>
      <c r="K35">
        <v>48</v>
      </c>
      <c r="N35">
        <f>Table1115[[#This Row],[RH]]+Table1115[[#This Row],[LH]]</f>
        <v>0</v>
      </c>
      <c r="P35" t="str">
        <f>IF(Table1116[[#This Row],[Total]]=0,"",(MAX(P$3:P34)+1)+MAX(Table1115[Line Number]))</f>
        <v/>
      </c>
      <c r="Q35" t="s">
        <v>204</v>
      </c>
      <c r="R35">
        <v>48</v>
      </c>
      <c r="U35">
        <f>Table1116[[#This Row],[RH]]+Table1116[[#This Row],[LH]]</f>
        <v>0</v>
      </c>
      <c r="AB35" t="str">
        <f>IF(Table18[[#This Row],[total]]=0,"",(MAX($AB$3:$AB34)+1))</f>
        <v/>
      </c>
      <c r="AC35" t="s">
        <v>204</v>
      </c>
      <c r="AD35">
        <v>48</v>
      </c>
      <c r="AE35">
        <v>80</v>
      </c>
      <c r="AF35">
        <f>Table11[[#This Row],[LH]]</f>
        <v>0</v>
      </c>
      <c r="AG35">
        <f>Table11[[#This Row],[RH]]</f>
        <v>0</v>
      </c>
      <c r="AH35">
        <f>Table18[[#This Row],[RH]]+Table18[[#This Row],[LH]]</f>
        <v>0</v>
      </c>
    </row>
    <row r="36" spans="2:34" x14ac:dyDescent="0.25">
      <c r="AB36" t="str">
        <f>IF(Table18[[#This Row],[total]]=0,"",(MAX($AB$3:$AB35)+1))</f>
        <v/>
      </c>
      <c r="AC36" t="s">
        <v>200</v>
      </c>
      <c r="AD36">
        <v>24</v>
      </c>
      <c r="AE36">
        <v>84</v>
      </c>
      <c r="AF36">
        <f>L4</f>
        <v>0</v>
      </c>
      <c r="AG36">
        <f>M4</f>
        <v>0</v>
      </c>
      <c r="AH36">
        <f>Table18[[#This Row],[RH]]+Table18[[#This Row],[LH]]</f>
        <v>0</v>
      </c>
    </row>
    <row r="37" spans="2:34" x14ac:dyDescent="0.25">
      <c r="AB37" t="str">
        <f>IF(Table18[[#This Row],[total]]=0,"",(MAX($AB$3:$AB36)+1))</f>
        <v/>
      </c>
      <c r="AC37" t="s">
        <v>200</v>
      </c>
      <c r="AD37">
        <v>26</v>
      </c>
      <c r="AE37">
        <v>84</v>
      </c>
      <c r="AF37">
        <f t="shared" ref="AF37:AG67" si="1">L5</f>
        <v>0</v>
      </c>
      <c r="AG37">
        <f t="shared" si="1"/>
        <v>0</v>
      </c>
      <c r="AH37">
        <f>Table18[[#This Row],[RH]]+Table18[[#This Row],[LH]]</f>
        <v>0</v>
      </c>
    </row>
    <row r="38" spans="2:34" x14ac:dyDescent="0.25">
      <c r="AB38" t="str">
        <f>IF(Table18[[#This Row],[total]]=0,"",(MAX($AB$3:$AB37)+1))</f>
        <v/>
      </c>
      <c r="AC38" t="s">
        <v>200</v>
      </c>
      <c r="AD38">
        <v>28</v>
      </c>
      <c r="AE38">
        <v>84</v>
      </c>
      <c r="AF38">
        <f t="shared" si="1"/>
        <v>0</v>
      </c>
      <c r="AG38">
        <f t="shared" si="1"/>
        <v>0</v>
      </c>
      <c r="AH38">
        <f>Table18[[#This Row],[RH]]+Table18[[#This Row],[LH]]</f>
        <v>0</v>
      </c>
    </row>
    <row r="39" spans="2:34" x14ac:dyDescent="0.25">
      <c r="AB39">
        <f>IF(Table18[[#This Row],[total]]=0,"",(MAX($AB$3:$AB38)+1))</f>
        <v>3</v>
      </c>
      <c r="AC39" t="s">
        <v>200</v>
      </c>
      <c r="AD39">
        <v>30</v>
      </c>
      <c r="AE39">
        <v>84</v>
      </c>
      <c r="AF39">
        <f t="shared" si="1"/>
        <v>3</v>
      </c>
      <c r="AG39">
        <f t="shared" si="1"/>
        <v>0</v>
      </c>
      <c r="AH39">
        <f>Table18[[#This Row],[RH]]+Table18[[#This Row],[LH]]</f>
        <v>3</v>
      </c>
    </row>
    <row r="40" spans="2:34" x14ac:dyDescent="0.25">
      <c r="AB40">
        <f>IF(Table18[[#This Row],[total]]=0,"",(MAX($AB$3:$AB39)+1))</f>
        <v>4</v>
      </c>
      <c r="AC40" t="s">
        <v>200</v>
      </c>
      <c r="AD40">
        <v>32</v>
      </c>
      <c r="AE40">
        <v>84</v>
      </c>
      <c r="AF40">
        <f t="shared" si="1"/>
        <v>2</v>
      </c>
      <c r="AG40">
        <f t="shared" si="1"/>
        <v>0</v>
      </c>
      <c r="AH40">
        <f>Table18[[#This Row],[RH]]+Table18[[#This Row],[LH]]</f>
        <v>2</v>
      </c>
    </row>
    <row r="41" spans="2:34" x14ac:dyDescent="0.25">
      <c r="AB41" t="str">
        <f>IF(Table18[[#This Row],[total]]=0,"",(MAX($AB$3:$AB40)+1))</f>
        <v/>
      </c>
      <c r="AC41" t="s">
        <v>200</v>
      </c>
      <c r="AD41">
        <v>34</v>
      </c>
      <c r="AE41">
        <v>84</v>
      </c>
      <c r="AF41">
        <f t="shared" si="1"/>
        <v>0</v>
      </c>
      <c r="AG41">
        <f t="shared" si="1"/>
        <v>0</v>
      </c>
      <c r="AH41">
        <f>Table18[[#This Row],[RH]]+Table18[[#This Row],[LH]]</f>
        <v>0</v>
      </c>
    </row>
    <row r="42" spans="2:34" x14ac:dyDescent="0.25">
      <c r="AB42" t="str">
        <f>IF(Table18[[#This Row],[total]]=0,"",(MAX($AB$3:$AB41)+1))</f>
        <v/>
      </c>
      <c r="AC42" t="s">
        <v>200</v>
      </c>
      <c r="AD42">
        <v>36</v>
      </c>
      <c r="AE42">
        <v>84</v>
      </c>
      <c r="AF42">
        <f t="shared" si="1"/>
        <v>0</v>
      </c>
      <c r="AG42">
        <f t="shared" si="1"/>
        <v>0</v>
      </c>
      <c r="AH42">
        <f>Table18[[#This Row],[RH]]+Table18[[#This Row],[LH]]</f>
        <v>0</v>
      </c>
    </row>
    <row r="43" spans="2:34" x14ac:dyDescent="0.25">
      <c r="AB43" t="str">
        <f>IF(Table18[[#This Row],[total]]=0,"",(MAX($AB$3:$AB42)+1))</f>
        <v/>
      </c>
      <c r="AC43" t="s">
        <v>202</v>
      </c>
      <c r="AD43">
        <v>24</v>
      </c>
      <c r="AE43">
        <v>84</v>
      </c>
      <c r="AF43">
        <f t="shared" si="1"/>
        <v>0</v>
      </c>
      <c r="AG43">
        <f t="shared" si="1"/>
        <v>0</v>
      </c>
      <c r="AH43">
        <f>Table18[[#This Row],[RH]]+Table18[[#This Row],[LH]]</f>
        <v>0</v>
      </c>
    </row>
    <row r="44" spans="2:34" x14ac:dyDescent="0.25">
      <c r="AB44" t="str">
        <f>IF(Table18[[#This Row],[total]]=0,"",(MAX($AB$3:$AB43)+1))</f>
        <v/>
      </c>
      <c r="AC44" t="s">
        <v>202</v>
      </c>
      <c r="AD44">
        <v>26</v>
      </c>
      <c r="AE44">
        <v>84</v>
      </c>
      <c r="AF44">
        <f t="shared" si="1"/>
        <v>0</v>
      </c>
      <c r="AG44">
        <f t="shared" si="1"/>
        <v>0</v>
      </c>
      <c r="AH44">
        <f>Table18[[#This Row],[RH]]+Table18[[#This Row],[LH]]</f>
        <v>0</v>
      </c>
    </row>
    <row r="45" spans="2:34" x14ac:dyDescent="0.25">
      <c r="AB45" t="str">
        <f>IF(Table18[[#This Row],[total]]=0,"",(MAX($AB$3:$AB44)+1))</f>
        <v/>
      </c>
      <c r="AC45" t="s">
        <v>202</v>
      </c>
      <c r="AD45">
        <v>28</v>
      </c>
      <c r="AE45">
        <v>84</v>
      </c>
      <c r="AF45">
        <f t="shared" si="1"/>
        <v>0</v>
      </c>
      <c r="AG45">
        <f t="shared" si="1"/>
        <v>0</v>
      </c>
      <c r="AH45">
        <f>Table18[[#This Row],[RH]]+Table18[[#This Row],[LH]]</f>
        <v>0</v>
      </c>
    </row>
    <row r="46" spans="2:34" x14ac:dyDescent="0.25">
      <c r="AB46" t="str">
        <f>IF(Table18[[#This Row],[total]]=0,"",(MAX($AB$3:$AB45)+1))</f>
        <v/>
      </c>
      <c r="AC46" t="s">
        <v>202</v>
      </c>
      <c r="AD46">
        <v>30</v>
      </c>
      <c r="AE46">
        <v>84</v>
      </c>
      <c r="AF46">
        <f t="shared" si="1"/>
        <v>0</v>
      </c>
      <c r="AG46">
        <f t="shared" si="1"/>
        <v>0</v>
      </c>
      <c r="AH46">
        <f>Table18[[#This Row],[RH]]+Table18[[#This Row],[LH]]</f>
        <v>0</v>
      </c>
    </row>
    <row r="47" spans="2:34" x14ac:dyDescent="0.25">
      <c r="AB47" t="str">
        <f>IF(Table18[[#This Row],[total]]=0,"",(MAX($AB$3:$AB46)+1))</f>
        <v/>
      </c>
      <c r="AC47" t="s">
        <v>202</v>
      </c>
      <c r="AD47">
        <v>32</v>
      </c>
      <c r="AE47">
        <v>84</v>
      </c>
      <c r="AF47">
        <f t="shared" si="1"/>
        <v>0</v>
      </c>
      <c r="AG47">
        <f t="shared" si="1"/>
        <v>0</v>
      </c>
      <c r="AH47">
        <f>Table18[[#This Row],[RH]]+Table18[[#This Row],[LH]]</f>
        <v>0</v>
      </c>
    </row>
    <row r="48" spans="2:34" x14ac:dyDescent="0.25">
      <c r="AB48" t="str">
        <f>IF(Table18[[#This Row],[total]]=0,"",(MAX($AB$3:$AB47)+1))</f>
        <v/>
      </c>
      <c r="AC48" t="s">
        <v>202</v>
      </c>
      <c r="AD48">
        <v>34</v>
      </c>
      <c r="AE48">
        <v>84</v>
      </c>
      <c r="AF48">
        <f t="shared" si="1"/>
        <v>0</v>
      </c>
      <c r="AG48">
        <f t="shared" si="1"/>
        <v>0</v>
      </c>
      <c r="AH48">
        <f>Table18[[#This Row],[RH]]+Table18[[#This Row],[LH]]</f>
        <v>0</v>
      </c>
    </row>
    <row r="49" spans="28:34" x14ac:dyDescent="0.25">
      <c r="AB49" t="str">
        <f>IF(Table18[[#This Row],[total]]=0,"",(MAX($AB$3:$AB48)+1))</f>
        <v/>
      </c>
      <c r="AC49" t="s">
        <v>202</v>
      </c>
      <c r="AD49">
        <v>36</v>
      </c>
      <c r="AE49">
        <v>84</v>
      </c>
      <c r="AF49">
        <f t="shared" si="1"/>
        <v>0</v>
      </c>
      <c r="AG49">
        <f t="shared" si="1"/>
        <v>0</v>
      </c>
      <c r="AH49">
        <f>Table18[[#This Row],[RH]]+Table18[[#This Row],[LH]]</f>
        <v>0</v>
      </c>
    </row>
    <row r="50" spans="28:34" x14ac:dyDescent="0.25">
      <c r="AB50" t="str">
        <f>IF(Table18[[#This Row],[total]]=0,"",(MAX($AB$3:$AB49)+1))</f>
        <v/>
      </c>
      <c r="AC50" t="s">
        <v>201</v>
      </c>
      <c r="AD50">
        <v>48</v>
      </c>
      <c r="AE50">
        <v>84</v>
      </c>
      <c r="AF50">
        <f t="shared" si="1"/>
        <v>0</v>
      </c>
      <c r="AG50">
        <f t="shared" si="1"/>
        <v>0</v>
      </c>
      <c r="AH50">
        <f>Table18[[#This Row],[RH]]+Table18[[#This Row],[LH]]</f>
        <v>0</v>
      </c>
    </row>
    <row r="51" spans="28:34" x14ac:dyDescent="0.25">
      <c r="AB51" t="str">
        <f>IF(Table18[[#This Row],[total]]=0,"",(MAX($AB$3:$AB50)+1))</f>
        <v/>
      </c>
      <c r="AC51" t="s">
        <v>201</v>
      </c>
      <c r="AD51">
        <v>60</v>
      </c>
      <c r="AE51">
        <v>84</v>
      </c>
      <c r="AF51">
        <f t="shared" si="1"/>
        <v>0</v>
      </c>
      <c r="AG51">
        <f t="shared" si="1"/>
        <v>0</v>
      </c>
      <c r="AH51">
        <f>Table18[[#This Row],[RH]]+Table18[[#This Row],[LH]]</f>
        <v>0</v>
      </c>
    </row>
    <row r="52" spans="28:34" x14ac:dyDescent="0.25">
      <c r="AB52" t="str">
        <f>IF(Table18[[#This Row],[total]]=0,"",(MAX($AB$3:$AB51)+1))</f>
        <v/>
      </c>
      <c r="AC52" t="s">
        <v>201</v>
      </c>
      <c r="AD52">
        <v>72</v>
      </c>
      <c r="AE52">
        <v>84</v>
      </c>
      <c r="AF52">
        <f t="shared" si="1"/>
        <v>0</v>
      </c>
      <c r="AG52">
        <f t="shared" si="1"/>
        <v>0</v>
      </c>
      <c r="AH52">
        <f>Table18[[#This Row],[RH]]+Table18[[#This Row],[LH]]</f>
        <v>0</v>
      </c>
    </row>
    <row r="53" spans="28:34" x14ac:dyDescent="0.25">
      <c r="AB53" t="str">
        <f>IF(Table18[[#This Row],[total]]=0,"",(MAX($AB$3:$AB52)+1))</f>
        <v/>
      </c>
      <c r="AC53" t="s">
        <v>203</v>
      </c>
      <c r="AD53">
        <v>24</v>
      </c>
      <c r="AE53">
        <v>84</v>
      </c>
      <c r="AF53">
        <f t="shared" si="1"/>
        <v>0</v>
      </c>
      <c r="AG53">
        <f t="shared" si="1"/>
        <v>0</v>
      </c>
      <c r="AH53">
        <f>Table18[[#This Row],[RH]]+Table18[[#This Row],[LH]]</f>
        <v>0</v>
      </c>
    </row>
    <row r="54" spans="28:34" x14ac:dyDescent="0.25">
      <c r="AB54" t="str">
        <f>IF(Table18[[#This Row],[total]]=0,"",(MAX($AB$3:$AB53)+1))</f>
        <v/>
      </c>
      <c r="AC54" t="s">
        <v>203</v>
      </c>
      <c r="AD54">
        <v>26</v>
      </c>
      <c r="AE54">
        <v>84</v>
      </c>
      <c r="AF54">
        <f t="shared" si="1"/>
        <v>0</v>
      </c>
      <c r="AG54">
        <f t="shared" si="1"/>
        <v>0</v>
      </c>
      <c r="AH54">
        <f>Table18[[#This Row],[RH]]+Table18[[#This Row],[LH]]</f>
        <v>0</v>
      </c>
    </row>
    <row r="55" spans="28:34" x14ac:dyDescent="0.25">
      <c r="AB55" t="str">
        <f>IF(Table18[[#This Row],[total]]=0,"",(MAX($AB$3:$AB54)+1))</f>
        <v/>
      </c>
      <c r="AC55" t="s">
        <v>203</v>
      </c>
      <c r="AD55">
        <v>28</v>
      </c>
      <c r="AE55">
        <v>84</v>
      </c>
      <c r="AF55">
        <f t="shared" si="1"/>
        <v>0</v>
      </c>
      <c r="AG55">
        <f t="shared" si="1"/>
        <v>0</v>
      </c>
      <c r="AH55">
        <f>Table18[[#This Row],[RH]]+Table18[[#This Row],[LH]]</f>
        <v>0</v>
      </c>
    </row>
    <row r="56" spans="28:34" x14ac:dyDescent="0.25">
      <c r="AB56" t="str">
        <f>IF(Table18[[#This Row],[total]]=0,"",(MAX($AB$3:$AB55)+1))</f>
        <v/>
      </c>
      <c r="AC56" t="s">
        <v>203</v>
      </c>
      <c r="AD56">
        <v>30</v>
      </c>
      <c r="AE56">
        <v>84</v>
      </c>
      <c r="AF56">
        <f t="shared" si="1"/>
        <v>0</v>
      </c>
      <c r="AG56">
        <f t="shared" si="1"/>
        <v>0</v>
      </c>
      <c r="AH56">
        <f>Table18[[#This Row],[RH]]+Table18[[#This Row],[LH]]</f>
        <v>0</v>
      </c>
    </row>
    <row r="57" spans="28:34" x14ac:dyDescent="0.25">
      <c r="AB57" t="str">
        <f>IF(Table18[[#This Row],[total]]=0,"",(MAX($AB$3:$AB56)+1))</f>
        <v/>
      </c>
      <c r="AC57" t="s">
        <v>203</v>
      </c>
      <c r="AD57">
        <v>32</v>
      </c>
      <c r="AE57">
        <v>84</v>
      </c>
      <c r="AF57">
        <f t="shared" si="1"/>
        <v>0</v>
      </c>
      <c r="AG57">
        <f t="shared" si="1"/>
        <v>0</v>
      </c>
      <c r="AH57">
        <f>Table18[[#This Row],[RH]]+Table18[[#This Row],[LH]]</f>
        <v>0</v>
      </c>
    </row>
    <row r="58" spans="28:34" x14ac:dyDescent="0.25">
      <c r="AB58" t="str">
        <f>IF(Table18[[#This Row],[total]]=0,"",(MAX($AB$3:$AB57)+1))</f>
        <v/>
      </c>
      <c r="AC58" t="s">
        <v>203</v>
      </c>
      <c r="AD58">
        <v>34</v>
      </c>
      <c r="AE58">
        <v>84</v>
      </c>
      <c r="AF58">
        <f t="shared" si="1"/>
        <v>0</v>
      </c>
      <c r="AG58">
        <f t="shared" si="1"/>
        <v>0</v>
      </c>
      <c r="AH58">
        <f>Table18[[#This Row],[RH]]+Table18[[#This Row],[LH]]</f>
        <v>0</v>
      </c>
    </row>
    <row r="59" spans="28:34" x14ac:dyDescent="0.25">
      <c r="AB59" t="str">
        <f>IF(Table18[[#This Row],[total]]=0,"",(MAX($AB$3:$AB58)+1))</f>
        <v/>
      </c>
      <c r="AC59" t="s">
        <v>203</v>
      </c>
      <c r="AD59">
        <v>36</v>
      </c>
      <c r="AE59">
        <v>84</v>
      </c>
      <c r="AF59">
        <f t="shared" si="1"/>
        <v>0</v>
      </c>
      <c r="AG59">
        <f t="shared" si="1"/>
        <v>0</v>
      </c>
      <c r="AH59">
        <f>Table18[[#This Row],[RH]]+Table18[[#This Row],[LH]]</f>
        <v>0</v>
      </c>
    </row>
    <row r="60" spans="28:34" x14ac:dyDescent="0.25">
      <c r="AB60" t="str">
        <f>IF(Table18[[#This Row],[total]]=0,"",(MAX($AB$3:$AB59)+1))</f>
        <v/>
      </c>
      <c r="AC60" t="s">
        <v>204</v>
      </c>
      <c r="AD60">
        <v>30</v>
      </c>
      <c r="AE60">
        <v>84</v>
      </c>
      <c r="AF60">
        <f t="shared" si="1"/>
        <v>0</v>
      </c>
      <c r="AG60">
        <f t="shared" si="1"/>
        <v>0</v>
      </c>
      <c r="AH60">
        <f>Table18[[#This Row],[RH]]+Table18[[#This Row],[LH]]</f>
        <v>0</v>
      </c>
    </row>
    <row r="61" spans="28:34" x14ac:dyDescent="0.25">
      <c r="AB61" t="str">
        <f>IF(Table18[[#This Row],[total]]=0,"",(MAX($AB$3:$AB60)+1))</f>
        <v/>
      </c>
      <c r="AC61" t="s">
        <v>204</v>
      </c>
      <c r="AD61">
        <v>32</v>
      </c>
      <c r="AE61">
        <v>84</v>
      </c>
      <c r="AF61">
        <f t="shared" si="1"/>
        <v>0</v>
      </c>
      <c r="AG61">
        <f t="shared" si="1"/>
        <v>0</v>
      </c>
      <c r="AH61">
        <f>Table18[[#This Row],[RH]]+Table18[[#This Row],[LH]]</f>
        <v>0</v>
      </c>
    </row>
    <row r="62" spans="28:34" x14ac:dyDescent="0.25">
      <c r="AB62" t="str">
        <f>IF(Table18[[#This Row],[total]]=0,"",(MAX($AB$3:$AB61)+1))</f>
        <v/>
      </c>
      <c r="AC62" t="s">
        <v>204</v>
      </c>
      <c r="AD62">
        <v>34</v>
      </c>
      <c r="AE62">
        <v>84</v>
      </c>
      <c r="AF62">
        <f t="shared" si="1"/>
        <v>0</v>
      </c>
      <c r="AG62">
        <f t="shared" si="1"/>
        <v>0</v>
      </c>
      <c r="AH62">
        <f>Table18[[#This Row],[RH]]+Table18[[#This Row],[LH]]</f>
        <v>0</v>
      </c>
    </row>
    <row r="63" spans="28:34" x14ac:dyDescent="0.25">
      <c r="AB63" t="str">
        <f>IF(Table18[[#This Row],[total]]=0,"",(MAX($AB$3:$AB62)+1))</f>
        <v/>
      </c>
      <c r="AC63" t="s">
        <v>204</v>
      </c>
      <c r="AD63">
        <v>36</v>
      </c>
      <c r="AE63">
        <v>84</v>
      </c>
      <c r="AF63">
        <f t="shared" si="1"/>
        <v>0</v>
      </c>
      <c r="AG63">
        <f t="shared" si="1"/>
        <v>0</v>
      </c>
      <c r="AH63">
        <f>Table18[[#This Row],[RH]]+Table18[[#This Row],[LH]]</f>
        <v>0</v>
      </c>
    </row>
    <row r="64" spans="28:34" x14ac:dyDescent="0.25">
      <c r="AB64" t="str">
        <f>IF(Table18[[#This Row],[total]]=0,"",(MAX($AB$3:$AB63)+1))</f>
        <v/>
      </c>
      <c r="AC64" t="s">
        <v>204</v>
      </c>
      <c r="AD64">
        <v>39</v>
      </c>
      <c r="AE64">
        <v>84</v>
      </c>
      <c r="AF64">
        <f t="shared" si="1"/>
        <v>0</v>
      </c>
      <c r="AG64">
        <f t="shared" si="1"/>
        <v>0</v>
      </c>
      <c r="AH64">
        <f>Table18[[#This Row],[RH]]+Table18[[#This Row],[LH]]</f>
        <v>0</v>
      </c>
    </row>
    <row r="65" spans="28:34" x14ac:dyDescent="0.25">
      <c r="AB65" t="str">
        <f>IF(Table18[[#This Row],[total]]=0,"",(MAX($AB$3:$AB64)+1))</f>
        <v/>
      </c>
      <c r="AC65" t="s">
        <v>204</v>
      </c>
      <c r="AD65">
        <v>42</v>
      </c>
      <c r="AE65">
        <v>84</v>
      </c>
      <c r="AF65">
        <f t="shared" si="1"/>
        <v>0</v>
      </c>
      <c r="AG65">
        <f t="shared" si="1"/>
        <v>0</v>
      </c>
      <c r="AH65">
        <f>Table18[[#This Row],[RH]]+Table18[[#This Row],[LH]]</f>
        <v>0</v>
      </c>
    </row>
    <row r="66" spans="28:34" x14ac:dyDescent="0.25">
      <c r="AB66" t="str">
        <f>IF(Table18[[#This Row],[total]]=0,"",(MAX($AB$3:$AB65)+1))</f>
        <v/>
      </c>
      <c r="AC66" t="s">
        <v>204</v>
      </c>
      <c r="AD66">
        <v>45</v>
      </c>
      <c r="AE66">
        <v>84</v>
      </c>
      <c r="AF66">
        <f t="shared" si="1"/>
        <v>0</v>
      </c>
      <c r="AG66">
        <f t="shared" si="1"/>
        <v>0</v>
      </c>
      <c r="AH66">
        <f>Table18[[#This Row],[RH]]+Table18[[#This Row],[LH]]</f>
        <v>0</v>
      </c>
    </row>
    <row r="67" spans="28:34" x14ac:dyDescent="0.25">
      <c r="AB67" t="str">
        <f>IF(Table18[[#This Row],[total]]=0,"",(MAX($AB$3:$AB66)+1))</f>
        <v/>
      </c>
      <c r="AC67" t="s">
        <v>204</v>
      </c>
      <c r="AD67">
        <v>48</v>
      </c>
      <c r="AE67">
        <v>84</v>
      </c>
      <c r="AF67">
        <f t="shared" si="1"/>
        <v>0</v>
      </c>
      <c r="AG67">
        <f t="shared" si="1"/>
        <v>0</v>
      </c>
      <c r="AH67">
        <f>Table18[[#This Row],[RH]]+Table18[[#This Row],[LH]]</f>
        <v>0</v>
      </c>
    </row>
    <row r="68" spans="28:34" x14ac:dyDescent="0.25">
      <c r="AB68" t="str">
        <f>IF(Table18[[#This Row],[total]]=0,"",(MAX($AB$3:$AB67)+1))</f>
        <v/>
      </c>
      <c r="AC68" t="s">
        <v>200</v>
      </c>
      <c r="AD68">
        <v>24</v>
      </c>
      <c r="AE68">
        <v>96</v>
      </c>
      <c r="AF68">
        <f>S4</f>
        <v>0</v>
      </c>
      <c r="AG68">
        <f>T4</f>
        <v>0</v>
      </c>
      <c r="AH68">
        <f>Table18[[#This Row],[RH]]+Table18[[#This Row],[LH]]</f>
        <v>0</v>
      </c>
    </row>
    <row r="69" spans="28:34" x14ac:dyDescent="0.25">
      <c r="AB69" t="str">
        <f>IF(Table18[[#This Row],[total]]=0,"",(MAX($AB$3:$AB68)+1))</f>
        <v/>
      </c>
      <c r="AC69" t="s">
        <v>200</v>
      </c>
      <c r="AD69">
        <v>26</v>
      </c>
      <c r="AE69">
        <v>96</v>
      </c>
      <c r="AF69">
        <f t="shared" ref="AF69:AG99" si="2">S5</f>
        <v>0</v>
      </c>
      <c r="AG69">
        <f t="shared" si="2"/>
        <v>0</v>
      </c>
      <c r="AH69">
        <f>Table18[[#This Row],[RH]]+Table18[[#This Row],[LH]]</f>
        <v>0</v>
      </c>
    </row>
    <row r="70" spans="28:34" x14ac:dyDescent="0.25">
      <c r="AB70" t="str">
        <f>IF(Table18[[#This Row],[total]]=0,"",(MAX($AB$3:$AB69)+1))</f>
        <v/>
      </c>
      <c r="AC70" t="s">
        <v>200</v>
      </c>
      <c r="AD70">
        <v>28</v>
      </c>
      <c r="AE70">
        <v>96</v>
      </c>
      <c r="AF70">
        <f t="shared" si="2"/>
        <v>0</v>
      </c>
      <c r="AG70">
        <f t="shared" si="2"/>
        <v>0</v>
      </c>
      <c r="AH70">
        <f>Table18[[#This Row],[RH]]+Table18[[#This Row],[LH]]</f>
        <v>0</v>
      </c>
    </row>
    <row r="71" spans="28:34" x14ac:dyDescent="0.25">
      <c r="AB71" t="str">
        <f>IF(Table18[[#This Row],[total]]=0,"",(MAX($AB$3:$AB70)+1))</f>
        <v/>
      </c>
      <c r="AC71" t="s">
        <v>200</v>
      </c>
      <c r="AD71">
        <v>30</v>
      </c>
      <c r="AE71">
        <v>96</v>
      </c>
      <c r="AF71">
        <f t="shared" si="2"/>
        <v>0</v>
      </c>
      <c r="AG71">
        <f t="shared" si="2"/>
        <v>0</v>
      </c>
      <c r="AH71">
        <f>Table18[[#This Row],[RH]]+Table18[[#This Row],[LH]]</f>
        <v>0</v>
      </c>
    </row>
    <row r="72" spans="28:34" x14ac:dyDescent="0.25">
      <c r="AB72" t="str">
        <f>IF(Table18[[#This Row],[total]]=0,"",(MAX($AB$3:$AB71)+1))</f>
        <v/>
      </c>
      <c r="AC72" t="s">
        <v>200</v>
      </c>
      <c r="AD72">
        <v>32</v>
      </c>
      <c r="AE72">
        <v>96</v>
      </c>
      <c r="AF72">
        <f t="shared" si="2"/>
        <v>0</v>
      </c>
      <c r="AG72">
        <f t="shared" si="2"/>
        <v>0</v>
      </c>
      <c r="AH72">
        <f>Table18[[#This Row],[RH]]+Table18[[#This Row],[LH]]</f>
        <v>0</v>
      </c>
    </row>
    <row r="73" spans="28:34" x14ac:dyDescent="0.25">
      <c r="AB73" t="str">
        <f>IF(Table18[[#This Row],[total]]=0,"",(MAX($AB$3:$AB72)+1))</f>
        <v/>
      </c>
      <c r="AC73" t="s">
        <v>200</v>
      </c>
      <c r="AD73">
        <v>34</v>
      </c>
      <c r="AE73">
        <v>96</v>
      </c>
      <c r="AF73">
        <f t="shared" si="2"/>
        <v>0</v>
      </c>
      <c r="AG73">
        <f t="shared" si="2"/>
        <v>0</v>
      </c>
      <c r="AH73">
        <f>Table18[[#This Row],[RH]]+Table18[[#This Row],[LH]]</f>
        <v>0</v>
      </c>
    </row>
    <row r="74" spans="28:34" x14ac:dyDescent="0.25">
      <c r="AB74">
        <f>IF(Table18[[#This Row],[total]]=0,"",(MAX($AB$3:$AB73)+1))</f>
        <v>5</v>
      </c>
      <c r="AC74" t="s">
        <v>200</v>
      </c>
      <c r="AD74">
        <v>36</v>
      </c>
      <c r="AE74">
        <v>96</v>
      </c>
      <c r="AF74">
        <f t="shared" si="2"/>
        <v>0</v>
      </c>
      <c r="AG74">
        <f t="shared" si="2"/>
        <v>1</v>
      </c>
      <c r="AH74">
        <f>Table18[[#This Row],[RH]]+Table18[[#This Row],[LH]]</f>
        <v>1</v>
      </c>
    </row>
    <row r="75" spans="28:34" x14ac:dyDescent="0.25">
      <c r="AB75" t="str">
        <f>IF(Table18[[#This Row],[total]]=0,"",(MAX($AB$3:$AB74)+1))</f>
        <v/>
      </c>
      <c r="AC75" t="s">
        <v>202</v>
      </c>
      <c r="AD75">
        <v>24</v>
      </c>
      <c r="AE75">
        <v>96</v>
      </c>
      <c r="AF75">
        <f t="shared" si="2"/>
        <v>0</v>
      </c>
      <c r="AG75">
        <f t="shared" si="2"/>
        <v>0</v>
      </c>
      <c r="AH75">
        <f>Table18[[#This Row],[RH]]+Table18[[#This Row],[LH]]</f>
        <v>0</v>
      </c>
    </row>
    <row r="76" spans="28:34" x14ac:dyDescent="0.25">
      <c r="AB76" t="str">
        <f>IF(Table18[[#This Row],[total]]=0,"",(MAX($AB$3:$AB75)+1))</f>
        <v/>
      </c>
      <c r="AC76" t="s">
        <v>202</v>
      </c>
      <c r="AD76">
        <v>26</v>
      </c>
      <c r="AE76">
        <v>96</v>
      </c>
      <c r="AF76">
        <f t="shared" si="2"/>
        <v>0</v>
      </c>
      <c r="AG76">
        <f t="shared" si="2"/>
        <v>0</v>
      </c>
      <c r="AH76">
        <f>Table18[[#This Row],[RH]]+Table18[[#This Row],[LH]]</f>
        <v>0</v>
      </c>
    </row>
    <row r="77" spans="28:34" x14ac:dyDescent="0.25">
      <c r="AB77" t="str">
        <f>IF(Table18[[#This Row],[total]]=0,"",(MAX($AB$3:$AB76)+1))</f>
        <v/>
      </c>
      <c r="AC77" t="s">
        <v>202</v>
      </c>
      <c r="AD77">
        <v>28</v>
      </c>
      <c r="AE77">
        <v>96</v>
      </c>
      <c r="AF77">
        <f t="shared" si="2"/>
        <v>0</v>
      </c>
      <c r="AG77">
        <f t="shared" si="2"/>
        <v>0</v>
      </c>
      <c r="AH77">
        <f>Table18[[#This Row],[RH]]+Table18[[#This Row],[LH]]</f>
        <v>0</v>
      </c>
    </row>
    <row r="78" spans="28:34" x14ac:dyDescent="0.25">
      <c r="AB78" t="str">
        <f>IF(Table18[[#This Row],[total]]=0,"",(MAX($AB$3:$AB77)+1))</f>
        <v/>
      </c>
      <c r="AC78" t="s">
        <v>202</v>
      </c>
      <c r="AD78">
        <v>30</v>
      </c>
      <c r="AE78">
        <v>96</v>
      </c>
      <c r="AF78">
        <f t="shared" si="2"/>
        <v>0</v>
      </c>
      <c r="AG78">
        <f t="shared" si="2"/>
        <v>0</v>
      </c>
      <c r="AH78">
        <f>Table18[[#This Row],[RH]]+Table18[[#This Row],[LH]]</f>
        <v>0</v>
      </c>
    </row>
    <row r="79" spans="28:34" x14ac:dyDescent="0.25">
      <c r="AB79" t="str">
        <f>IF(Table18[[#This Row],[total]]=0,"",(MAX($AB$3:$AB78)+1))</f>
        <v/>
      </c>
      <c r="AC79" t="s">
        <v>202</v>
      </c>
      <c r="AD79">
        <v>32</v>
      </c>
      <c r="AE79">
        <v>96</v>
      </c>
      <c r="AF79">
        <f t="shared" si="2"/>
        <v>0</v>
      </c>
      <c r="AG79">
        <f t="shared" si="2"/>
        <v>0</v>
      </c>
      <c r="AH79">
        <f>Table18[[#This Row],[RH]]+Table18[[#This Row],[LH]]</f>
        <v>0</v>
      </c>
    </row>
    <row r="80" spans="28:34" x14ac:dyDescent="0.25">
      <c r="AB80" t="str">
        <f>IF(Table18[[#This Row],[total]]=0,"",(MAX($AB$3:$AB79)+1))</f>
        <v/>
      </c>
      <c r="AC80" t="s">
        <v>202</v>
      </c>
      <c r="AD80">
        <v>34</v>
      </c>
      <c r="AE80">
        <v>96</v>
      </c>
      <c r="AF80">
        <f t="shared" si="2"/>
        <v>0</v>
      </c>
      <c r="AG80">
        <f t="shared" si="2"/>
        <v>0</v>
      </c>
      <c r="AH80">
        <f>Table18[[#This Row],[RH]]+Table18[[#This Row],[LH]]</f>
        <v>0</v>
      </c>
    </row>
    <row r="81" spans="28:34" x14ac:dyDescent="0.25">
      <c r="AB81" t="str">
        <f>IF(Table18[[#This Row],[total]]=0,"",(MAX($AB$3:$AB80)+1))</f>
        <v/>
      </c>
      <c r="AC81" t="s">
        <v>202</v>
      </c>
      <c r="AD81">
        <v>36</v>
      </c>
      <c r="AE81">
        <v>96</v>
      </c>
      <c r="AF81">
        <f t="shared" si="2"/>
        <v>0</v>
      </c>
      <c r="AG81">
        <f t="shared" si="2"/>
        <v>0</v>
      </c>
      <c r="AH81">
        <f>Table18[[#This Row],[RH]]+Table18[[#This Row],[LH]]</f>
        <v>0</v>
      </c>
    </row>
    <row r="82" spans="28:34" x14ac:dyDescent="0.25">
      <c r="AB82" t="str">
        <f>IF(Table18[[#This Row],[total]]=0,"",(MAX($AB$3:$AB81)+1))</f>
        <v/>
      </c>
      <c r="AC82" t="s">
        <v>201</v>
      </c>
      <c r="AD82">
        <v>48</v>
      </c>
      <c r="AE82">
        <v>96</v>
      </c>
      <c r="AF82">
        <f t="shared" si="2"/>
        <v>0</v>
      </c>
      <c r="AG82">
        <f t="shared" si="2"/>
        <v>0</v>
      </c>
      <c r="AH82">
        <f>Table18[[#This Row],[RH]]+Table18[[#This Row],[LH]]</f>
        <v>0</v>
      </c>
    </row>
    <row r="83" spans="28:34" x14ac:dyDescent="0.25">
      <c r="AB83" t="str">
        <f>IF(Table18[[#This Row],[total]]=0,"",(MAX($AB$3:$AB82)+1))</f>
        <v/>
      </c>
      <c r="AC83" t="s">
        <v>201</v>
      </c>
      <c r="AD83">
        <v>60</v>
      </c>
      <c r="AE83">
        <v>96</v>
      </c>
      <c r="AF83">
        <f t="shared" si="2"/>
        <v>0</v>
      </c>
      <c r="AG83">
        <f t="shared" si="2"/>
        <v>0</v>
      </c>
      <c r="AH83">
        <f>Table18[[#This Row],[RH]]+Table18[[#This Row],[LH]]</f>
        <v>0</v>
      </c>
    </row>
    <row r="84" spans="28:34" x14ac:dyDescent="0.25">
      <c r="AB84" t="str">
        <f>IF(Table18[[#This Row],[total]]=0,"",(MAX($AB$3:$AB83)+1))</f>
        <v/>
      </c>
      <c r="AC84" t="s">
        <v>201</v>
      </c>
      <c r="AD84">
        <v>72</v>
      </c>
      <c r="AE84">
        <v>96</v>
      </c>
      <c r="AF84">
        <f t="shared" si="2"/>
        <v>0</v>
      </c>
      <c r="AG84">
        <f t="shared" si="2"/>
        <v>0</v>
      </c>
      <c r="AH84">
        <f>Table18[[#This Row],[RH]]+Table18[[#This Row],[LH]]</f>
        <v>0</v>
      </c>
    </row>
    <row r="85" spans="28:34" x14ac:dyDescent="0.25">
      <c r="AB85" t="str">
        <f>IF(Table18[[#This Row],[total]]=0,"",(MAX($AB$3:$AB84)+1))</f>
        <v/>
      </c>
      <c r="AC85" t="s">
        <v>203</v>
      </c>
      <c r="AD85">
        <v>24</v>
      </c>
      <c r="AE85">
        <v>96</v>
      </c>
      <c r="AF85">
        <f t="shared" si="2"/>
        <v>0</v>
      </c>
      <c r="AG85">
        <f t="shared" si="2"/>
        <v>0</v>
      </c>
      <c r="AH85">
        <f>Table18[[#This Row],[RH]]+Table18[[#This Row],[LH]]</f>
        <v>0</v>
      </c>
    </row>
    <row r="86" spans="28:34" x14ac:dyDescent="0.25">
      <c r="AB86" t="str">
        <f>IF(Table18[[#This Row],[total]]=0,"",(MAX($AB$3:$AB85)+1))</f>
        <v/>
      </c>
      <c r="AC86" t="s">
        <v>203</v>
      </c>
      <c r="AD86">
        <v>26</v>
      </c>
      <c r="AE86">
        <v>96</v>
      </c>
      <c r="AF86">
        <f t="shared" si="2"/>
        <v>0</v>
      </c>
      <c r="AG86">
        <f t="shared" si="2"/>
        <v>0</v>
      </c>
      <c r="AH86">
        <f>Table18[[#This Row],[RH]]+Table18[[#This Row],[LH]]</f>
        <v>0</v>
      </c>
    </row>
    <row r="87" spans="28:34" x14ac:dyDescent="0.25">
      <c r="AB87" t="str">
        <f>IF(Table18[[#This Row],[total]]=0,"",(MAX($AB$3:$AB86)+1))</f>
        <v/>
      </c>
      <c r="AC87" t="s">
        <v>203</v>
      </c>
      <c r="AD87">
        <v>28</v>
      </c>
      <c r="AE87">
        <v>96</v>
      </c>
      <c r="AF87">
        <f t="shared" si="2"/>
        <v>0</v>
      </c>
      <c r="AG87">
        <f t="shared" si="2"/>
        <v>0</v>
      </c>
      <c r="AH87">
        <f>Table18[[#This Row],[RH]]+Table18[[#This Row],[LH]]</f>
        <v>0</v>
      </c>
    </row>
    <row r="88" spans="28:34" x14ac:dyDescent="0.25">
      <c r="AB88" t="str">
        <f>IF(Table18[[#This Row],[total]]=0,"",(MAX($AB$3:$AB87)+1))</f>
        <v/>
      </c>
      <c r="AC88" t="s">
        <v>203</v>
      </c>
      <c r="AD88">
        <v>30</v>
      </c>
      <c r="AE88">
        <v>96</v>
      </c>
      <c r="AF88">
        <f t="shared" si="2"/>
        <v>0</v>
      </c>
      <c r="AG88">
        <f t="shared" si="2"/>
        <v>0</v>
      </c>
      <c r="AH88">
        <f>Table18[[#This Row],[RH]]+Table18[[#This Row],[LH]]</f>
        <v>0</v>
      </c>
    </row>
    <row r="89" spans="28:34" x14ac:dyDescent="0.25">
      <c r="AB89" t="str">
        <f>IF(Table18[[#This Row],[total]]=0,"",(MAX($AB$3:$AB88)+1))</f>
        <v/>
      </c>
      <c r="AC89" t="s">
        <v>203</v>
      </c>
      <c r="AD89">
        <v>32</v>
      </c>
      <c r="AE89">
        <v>96</v>
      </c>
      <c r="AF89">
        <f t="shared" si="2"/>
        <v>0</v>
      </c>
      <c r="AG89">
        <f t="shared" si="2"/>
        <v>0</v>
      </c>
      <c r="AH89">
        <f>Table18[[#This Row],[RH]]+Table18[[#This Row],[LH]]</f>
        <v>0</v>
      </c>
    </row>
    <row r="90" spans="28:34" x14ac:dyDescent="0.25">
      <c r="AB90" t="str">
        <f>IF(Table18[[#This Row],[total]]=0,"",(MAX($AB$3:$AB89)+1))</f>
        <v/>
      </c>
      <c r="AC90" t="s">
        <v>203</v>
      </c>
      <c r="AD90">
        <v>34</v>
      </c>
      <c r="AE90">
        <v>96</v>
      </c>
      <c r="AF90">
        <f t="shared" si="2"/>
        <v>0</v>
      </c>
      <c r="AG90">
        <f t="shared" si="2"/>
        <v>0</v>
      </c>
      <c r="AH90">
        <f>Table18[[#This Row],[RH]]+Table18[[#This Row],[LH]]</f>
        <v>0</v>
      </c>
    </row>
    <row r="91" spans="28:34" x14ac:dyDescent="0.25">
      <c r="AB91" t="str">
        <f>IF(Table18[[#This Row],[total]]=0,"",(MAX($AB$3:$AB90)+1))</f>
        <v/>
      </c>
      <c r="AC91" t="s">
        <v>203</v>
      </c>
      <c r="AD91">
        <v>36</v>
      </c>
      <c r="AE91">
        <v>96</v>
      </c>
      <c r="AF91">
        <f t="shared" si="2"/>
        <v>0</v>
      </c>
      <c r="AG91">
        <f t="shared" si="2"/>
        <v>0</v>
      </c>
      <c r="AH91">
        <f>Table18[[#This Row],[RH]]+Table18[[#This Row],[LH]]</f>
        <v>0</v>
      </c>
    </row>
    <row r="92" spans="28:34" x14ac:dyDescent="0.25">
      <c r="AB92" t="str">
        <f>IF(Table18[[#This Row],[total]]=0,"",(MAX($AB$3:$AB91)+1))</f>
        <v/>
      </c>
      <c r="AC92" t="s">
        <v>204</v>
      </c>
      <c r="AD92">
        <v>30</v>
      </c>
      <c r="AE92">
        <v>96</v>
      </c>
      <c r="AF92">
        <f t="shared" si="2"/>
        <v>0</v>
      </c>
      <c r="AG92">
        <f t="shared" si="2"/>
        <v>0</v>
      </c>
      <c r="AH92">
        <f>Table18[[#This Row],[RH]]+Table18[[#This Row],[LH]]</f>
        <v>0</v>
      </c>
    </row>
    <row r="93" spans="28:34" x14ac:dyDescent="0.25">
      <c r="AB93" t="str">
        <f>IF(Table18[[#This Row],[total]]=0,"",(MAX($AB$3:$AB92)+1))</f>
        <v/>
      </c>
      <c r="AC93" t="s">
        <v>204</v>
      </c>
      <c r="AD93">
        <v>32</v>
      </c>
      <c r="AE93">
        <v>96</v>
      </c>
      <c r="AF93">
        <f t="shared" si="2"/>
        <v>0</v>
      </c>
      <c r="AG93">
        <f t="shared" si="2"/>
        <v>0</v>
      </c>
      <c r="AH93">
        <f>Table18[[#This Row],[RH]]+Table18[[#This Row],[LH]]</f>
        <v>0</v>
      </c>
    </row>
    <row r="94" spans="28:34" x14ac:dyDescent="0.25">
      <c r="AB94" t="str">
        <f>IF(Table18[[#This Row],[total]]=0,"",(MAX($AB$3:$AB93)+1))</f>
        <v/>
      </c>
      <c r="AC94" t="s">
        <v>204</v>
      </c>
      <c r="AD94">
        <v>34</v>
      </c>
      <c r="AE94">
        <v>96</v>
      </c>
      <c r="AF94">
        <f t="shared" si="2"/>
        <v>0</v>
      </c>
      <c r="AG94">
        <f t="shared" si="2"/>
        <v>0</v>
      </c>
      <c r="AH94">
        <f>Table18[[#This Row],[RH]]+Table18[[#This Row],[LH]]</f>
        <v>0</v>
      </c>
    </row>
    <row r="95" spans="28:34" x14ac:dyDescent="0.25">
      <c r="AB95" t="str">
        <f>IF(Table18[[#This Row],[total]]=0,"",(MAX($AB$3:$AB94)+1))</f>
        <v/>
      </c>
      <c r="AC95" t="s">
        <v>204</v>
      </c>
      <c r="AD95">
        <v>36</v>
      </c>
      <c r="AE95">
        <v>96</v>
      </c>
      <c r="AF95">
        <f t="shared" si="2"/>
        <v>0</v>
      </c>
      <c r="AG95">
        <f t="shared" si="2"/>
        <v>0</v>
      </c>
      <c r="AH95">
        <f>Table18[[#This Row],[RH]]+Table18[[#This Row],[LH]]</f>
        <v>0</v>
      </c>
    </row>
    <row r="96" spans="28:34" x14ac:dyDescent="0.25">
      <c r="AB96" t="str">
        <f>IF(Table18[[#This Row],[total]]=0,"",(MAX($AB$3:$AB95)+1))</f>
        <v/>
      </c>
      <c r="AC96" t="s">
        <v>204</v>
      </c>
      <c r="AD96">
        <v>39</v>
      </c>
      <c r="AE96">
        <v>96</v>
      </c>
      <c r="AF96">
        <f t="shared" si="2"/>
        <v>0</v>
      </c>
      <c r="AG96">
        <f t="shared" si="2"/>
        <v>0</v>
      </c>
      <c r="AH96">
        <f>Table18[[#This Row],[RH]]+Table18[[#This Row],[LH]]</f>
        <v>0</v>
      </c>
    </row>
    <row r="97" spans="28:34" x14ac:dyDescent="0.25">
      <c r="AB97" t="str">
        <f>IF(Table18[[#This Row],[total]]=0,"",(MAX($AB$3:$AB96)+1))</f>
        <v/>
      </c>
      <c r="AC97" t="s">
        <v>204</v>
      </c>
      <c r="AD97">
        <v>42</v>
      </c>
      <c r="AE97">
        <v>96</v>
      </c>
      <c r="AF97">
        <f t="shared" si="2"/>
        <v>0</v>
      </c>
      <c r="AG97">
        <f t="shared" si="2"/>
        <v>0</v>
      </c>
      <c r="AH97">
        <f>Table18[[#This Row],[RH]]+Table18[[#This Row],[LH]]</f>
        <v>0</v>
      </c>
    </row>
    <row r="98" spans="28:34" x14ac:dyDescent="0.25">
      <c r="AB98" t="str">
        <f>IF(Table18[[#This Row],[total]]=0,"",(MAX($AB$3:$AB97)+1))</f>
        <v/>
      </c>
      <c r="AC98" t="s">
        <v>204</v>
      </c>
      <c r="AD98">
        <v>45</v>
      </c>
      <c r="AE98">
        <v>96</v>
      </c>
      <c r="AF98">
        <f t="shared" si="2"/>
        <v>0</v>
      </c>
      <c r="AG98">
        <f t="shared" si="2"/>
        <v>0</v>
      </c>
      <c r="AH98">
        <f>Table18[[#This Row],[RH]]+Table18[[#This Row],[LH]]</f>
        <v>0</v>
      </c>
    </row>
    <row r="99" spans="28:34" x14ac:dyDescent="0.25">
      <c r="AB99" t="str">
        <f>IF(Table18[[#This Row],[total]]=0,"",(MAX($AB$3:$AB98)+1))</f>
        <v/>
      </c>
      <c r="AC99" t="s">
        <v>204</v>
      </c>
      <c r="AD99">
        <v>48</v>
      </c>
      <c r="AE99">
        <v>96</v>
      </c>
      <c r="AF99">
        <f t="shared" si="2"/>
        <v>0</v>
      </c>
      <c r="AG99">
        <f>T35</f>
        <v>0</v>
      </c>
      <c r="AH99">
        <f>Table18[[#This Row],[RH]]+Table18[[#This Row],[LH]]</f>
        <v>0</v>
      </c>
    </row>
  </sheetData>
  <mergeCells count="3">
    <mergeCell ref="C2:G2"/>
    <mergeCell ref="J2:N2"/>
    <mergeCell ref="Q2:U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2B78-407D-4239-B40B-D5F6E8D28A0E}">
  <dimension ref="A1:Z41"/>
  <sheetViews>
    <sheetView topLeftCell="H11" zoomScaleNormal="100" workbookViewId="0">
      <selection activeCell="P15" sqref="P15"/>
    </sheetView>
  </sheetViews>
  <sheetFormatPr defaultRowHeight="15" x14ac:dyDescent="0.25"/>
  <cols>
    <col min="1" max="1" width="9.140625" style="88"/>
    <col min="2" max="7" width="30.140625" style="1" customWidth="1"/>
    <col min="8" max="8" width="60" style="1" bestFit="1" customWidth="1"/>
    <col min="9" max="9" width="12.5703125" style="1" bestFit="1" customWidth="1"/>
    <col min="10" max="10" width="12.5703125" style="1" customWidth="1"/>
    <col min="11" max="11" width="13.7109375" style="1" customWidth="1"/>
    <col min="12" max="12" width="9.7109375" style="29" bestFit="1" customWidth="1"/>
    <col min="13" max="13" width="10.7109375" style="1" bestFit="1" customWidth="1"/>
    <col min="14" max="14" width="9.7109375" style="1" customWidth="1"/>
    <col min="15" max="15" width="9.28515625" style="1" bestFit="1" customWidth="1"/>
    <col min="16" max="16" width="11.5703125" style="1" bestFit="1" customWidth="1"/>
    <col min="17" max="17" width="18" style="1" customWidth="1"/>
    <col min="18" max="18" width="9.42578125" style="1" bestFit="1" customWidth="1"/>
    <col min="19" max="19" width="13.7109375" style="1" customWidth="1"/>
    <col min="21" max="21" width="12.5703125" style="49" customWidth="1"/>
    <col min="22" max="22" width="14.28515625" style="49" bestFit="1" customWidth="1"/>
    <col min="23" max="23" width="11.28515625" style="1" customWidth="1"/>
    <col min="24" max="24" width="13.7109375" style="1" customWidth="1"/>
    <col min="25" max="25" width="10.42578125" style="1" customWidth="1"/>
    <col min="27" max="28" width="9.140625" style="1"/>
    <col min="29" max="33" width="9.28515625" style="1" bestFit="1" customWidth="1"/>
    <col min="34" max="34" width="9.140625" style="1"/>
    <col min="35" max="37" width="9.28515625" style="1" bestFit="1" customWidth="1"/>
    <col min="38" max="38" width="6.140625" style="1" bestFit="1" customWidth="1"/>
    <col min="39" max="39" width="9.28515625" style="1" bestFit="1" customWidth="1"/>
    <col min="40" max="16384" width="9.140625" style="1"/>
  </cols>
  <sheetData>
    <row r="1" spans="1:26" ht="15.75" thickBot="1" x14ac:dyDescent="0.3">
      <c r="T1" s="1"/>
      <c r="U1" s="1"/>
      <c r="V1" s="1"/>
      <c r="Z1" s="1"/>
    </row>
    <row r="2" spans="1:26" x14ac:dyDescent="0.25">
      <c r="H2" s="57" t="s">
        <v>30</v>
      </c>
      <c r="I2" s="58">
        <v>0.15</v>
      </c>
      <c r="J2" s="146" t="s">
        <v>189</v>
      </c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49"/>
      <c r="X2" s="53"/>
      <c r="Z2" s="1"/>
    </row>
    <row r="3" spans="1:26" x14ac:dyDescent="0.25">
      <c r="H3" s="59" t="s">
        <v>26</v>
      </c>
      <c r="I3" s="60">
        <v>0.25</v>
      </c>
      <c r="J3" s="146" t="s">
        <v>190</v>
      </c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49"/>
      <c r="X3" s="53"/>
      <c r="Z3" s="1"/>
    </row>
    <row r="4" spans="1:26" x14ac:dyDescent="0.25">
      <c r="H4" s="59" t="s">
        <v>31</v>
      </c>
      <c r="I4" s="61">
        <f>IF('Trim Take Off'!$C$17="CUSTOM",175,75)</f>
        <v>175</v>
      </c>
      <c r="J4" s="146" t="s">
        <v>191</v>
      </c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49"/>
      <c r="X4" s="53"/>
      <c r="Z4" s="1"/>
    </row>
    <row r="5" spans="1:26" x14ac:dyDescent="0.25">
      <c r="H5" s="59" t="s">
        <v>32</v>
      </c>
      <c r="I5" s="62">
        <v>0.85</v>
      </c>
      <c r="J5" s="146" t="s">
        <v>192</v>
      </c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49"/>
      <c r="X5" s="53"/>
      <c r="Z5" s="1"/>
    </row>
    <row r="6" spans="1:26" x14ac:dyDescent="0.25">
      <c r="H6" s="59" t="s">
        <v>33</v>
      </c>
      <c r="I6" s="62">
        <v>100</v>
      </c>
      <c r="J6" s="146" t="s">
        <v>193</v>
      </c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49"/>
      <c r="X6" s="53"/>
      <c r="Z6" s="1"/>
    </row>
    <row r="7" spans="1:26" ht="15.75" thickBot="1" x14ac:dyDescent="0.3">
      <c r="H7" s="59" t="s">
        <v>29</v>
      </c>
      <c r="I7" s="63">
        <v>0.1</v>
      </c>
      <c r="J7" s="146" t="s">
        <v>194</v>
      </c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49"/>
      <c r="X7" s="53"/>
      <c r="Z7" s="1"/>
    </row>
    <row r="8" spans="1:26" ht="30.75" customHeight="1" thickBot="1" x14ac:dyDescent="0.3">
      <c r="H8" s="64" t="s">
        <v>0</v>
      </c>
      <c r="I8" s="65">
        <f>SUBTOTAL(9,TRIM[Total Raw])</f>
        <v>4904.1567781250005</v>
      </c>
      <c r="J8" s="144" t="s">
        <v>195</v>
      </c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49"/>
      <c r="X8" s="53"/>
      <c r="Z8" s="1"/>
    </row>
    <row r="9" spans="1:26" x14ac:dyDescent="0.25">
      <c r="M9" s="56"/>
      <c r="Q9" s="56"/>
      <c r="R9" s="52"/>
      <c r="S9" s="49"/>
      <c r="T9" s="49"/>
      <c r="V9" s="1"/>
      <c r="W9" s="49"/>
      <c r="X9" s="53"/>
      <c r="Z9" s="1"/>
    </row>
    <row r="10" spans="1:26" x14ac:dyDescent="0.25">
      <c r="M10" s="56"/>
      <c r="Q10" s="56"/>
      <c r="R10" s="52"/>
      <c r="S10" s="49"/>
      <c r="T10" s="49"/>
      <c r="V10" s="1"/>
      <c r="W10" s="49"/>
      <c r="X10" s="53"/>
      <c r="Z10" s="1"/>
    </row>
    <row r="11" spans="1:26" x14ac:dyDescent="0.25">
      <c r="M11" s="56"/>
      <c r="Q11" s="56"/>
      <c r="R11" s="52"/>
      <c r="S11" s="49"/>
      <c r="T11" s="49"/>
      <c r="V11" s="1"/>
      <c r="W11" s="49"/>
      <c r="X11" s="53"/>
      <c r="Z11" s="1"/>
    </row>
    <row r="12" spans="1:26" x14ac:dyDescent="0.25">
      <c r="M12" s="56"/>
      <c r="Q12" s="56"/>
      <c r="R12" s="52"/>
      <c r="S12" s="49"/>
      <c r="T12" s="49"/>
      <c r="V12" s="1"/>
      <c r="W12" s="49"/>
      <c r="X12" s="53"/>
      <c r="Z12" s="1"/>
    </row>
    <row r="13" spans="1:26" s="51" customFormat="1" x14ac:dyDescent="0.25">
      <c r="A13" s="89"/>
      <c r="T13" s="52"/>
      <c r="U13" s="52"/>
    </row>
    <row r="14" spans="1:26" s="54" customFormat="1" ht="56.25" x14ac:dyDescent="0.3">
      <c r="A14" s="90" t="s">
        <v>116</v>
      </c>
      <c r="B14" s="54" t="s">
        <v>15</v>
      </c>
      <c r="C14" s="54" t="s">
        <v>108</v>
      </c>
      <c r="D14" s="54" t="s">
        <v>38</v>
      </c>
      <c r="E14" s="54" t="s">
        <v>109</v>
      </c>
      <c r="F14" s="54" t="s">
        <v>51</v>
      </c>
      <c r="G14" s="54" t="s">
        <v>106</v>
      </c>
      <c r="H14" s="54" t="s">
        <v>8</v>
      </c>
      <c r="I14" s="54" t="s">
        <v>9</v>
      </c>
      <c r="J14" s="54" t="s">
        <v>10</v>
      </c>
      <c r="K14" s="54" t="s">
        <v>37</v>
      </c>
      <c r="L14" s="54" t="s">
        <v>11</v>
      </c>
      <c r="M14" s="54" t="s">
        <v>12</v>
      </c>
      <c r="N14" s="54" t="s">
        <v>24</v>
      </c>
      <c r="O14" s="54" t="s">
        <v>13</v>
      </c>
      <c r="P14" s="54" t="s">
        <v>27</v>
      </c>
      <c r="Q14" s="54" t="s">
        <v>26</v>
      </c>
      <c r="R14" s="54" t="s">
        <v>1</v>
      </c>
      <c r="S14" s="54" t="s">
        <v>36</v>
      </c>
      <c r="T14" s="55" t="s">
        <v>28</v>
      </c>
      <c r="U14" s="55" t="s">
        <v>50</v>
      </c>
      <c r="V14" s="54" t="s">
        <v>14</v>
      </c>
      <c r="W14" s="54" t="s">
        <v>35</v>
      </c>
      <c r="X14" s="54" t="s">
        <v>29</v>
      </c>
      <c r="Y14" s="54" t="s">
        <v>49</v>
      </c>
    </row>
    <row r="15" spans="1:26" x14ac:dyDescent="0.25">
      <c r="A15" s="91">
        <f>IF(TRIM[[#This Row],[Species]]=0,"",IF(TRIM[[#This Row],[Lin.Ft.]]&gt;1,(MAX($A$14:$A14)+1),""))</f>
        <v>1</v>
      </c>
      <c r="B15" s="1" t="str">
        <f>'Trim Take Off'!$C$20</f>
        <v>Poplar</v>
      </c>
      <c r="C15" s="1" t="str">
        <f>IF(TRIM[[#This Row],[Width]]&gt;5.25,"LARGE",IF(TRIM[[#This Row],[Width]]&gt;3,"AVG",IF(TRIM[[#This Row],[Width]]="","","SMALL")))</f>
        <v>AVG</v>
      </c>
      <c r="D15" s="1" t="str">
        <f>IF(TRIM[[#This Row],[Species]]="","",IF(TRIM[[#This Row],[Species]]="POPLAR","PRIMED",IF(TRIM[[#This Row],[Species]]="MDF","PRIMED","STAINED")))</f>
        <v>PRIMED</v>
      </c>
      <c r="E15" s="1" t="str">
        <f>TRIM[[#This Row],[Finish]]&amp;" "&amp;TRIM[[#This Row],[Finish Size]]</f>
        <v>PRIMED AVG</v>
      </c>
      <c r="F15" t="s">
        <v>70</v>
      </c>
      <c r="G15" t="str">
        <f>'Trim Take Off'!$C$16&amp;" "&amp;TRIM[[#This Row],[Type]]</f>
        <v>CRAFTSMAN BASE</v>
      </c>
      <c r="H15" s="1" t="str">
        <f>IFERROR(TRIM[[#This Row],[Species]]&amp;" "&amp;TRIM[[#This Row],[Finish]]&amp;" "&amp;TRIM[[#This Row],[Type]]&amp;" "&amp;TRIM[[#This Row],[Width]]&amp;" x "&amp;TRIM[[#This Row],[Thickness]],"")</f>
        <v>Poplar PRIMED BASE 5.25 x 0.5</v>
      </c>
      <c r="I15" s="78">
        <f>IFERROR(INDEX(Table5[ACTUAL WIDTH],MATCH(TRIM[[#This Row],[NAME TYPE]],Table5[DESCRIPTION],0)),)</f>
        <v>5.25</v>
      </c>
      <c r="J15" s="78">
        <f>IFERROR(INDEX(Table5[ACTUAL THICKNESS],MATCH(TRIM[[#This Row],[NAME TYPE]],Table5[DESCRIPTION],0)),"")</f>
        <v>0.5</v>
      </c>
      <c r="K15" s="1">
        <f>INDEX(lumber[Rough],MATCH(TRIM[[#This Row],[Thickness]],lumber[Finish],1))</f>
        <v>1</v>
      </c>
      <c r="L15" s="1">
        <f>IFERROR(INDEX(Table5[LF],MATCH(TRIM[[#This Row],[NAME TYPE]],Table5[DESCRIPTION],0)),0)</f>
        <v>350</v>
      </c>
      <c r="M15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0.73139999999999994</v>
      </c>
      <c r="N15" s="1">
        <f>IF(TRIM[[#This Row],[Width]]&gt;6,INDEX(Table10[1 sorted],MATCH(TRIM[[#This Row],[Species]],Table10[Species],0)),INDEX(Table10[1],MATCH(TRIM[[#This Row],[Species]],Table10[Species],0)))</f>
        <v>2.2999999999999998</v>
      </c>
      <c r="O15" s="1">
        <f>TRIM[[#This Row],[Factor]]*TRIM[[#This Row],[Lin.Ft.]]</f>
        <v>255.98999999999998</v>
      </c>
      <c r="P15" s="49">
        <f>TRIM[[#This Row],[BF]]*TRIM[[#This Row],[Cost/BF]]</f>
        <v>588.77699999999993</v>
      </c>
      <c r="Q15" s="49">
        <f>IF(TRIM[[#This Row],[BF]]="","",P15*I$3)</f>
        <v>147.19424999999998</v>
      </c>
      <c r="R15" s="49">
        <f t="shared" ref="R15:R30" si="0">$I$4</f>
        <v>175</v>
      </c>
      <c r="S15" s="49">
        <f>TRIM[[#This Row],[Lin.Ft.]]*$I$5</f>
        <v>297.5</v>
      </c>
      <c r="T15" s="49">
        <f>IF('Trim Take Off'!$C$17="custom",(TRIM[[#This Row],[Width]]+0.25)*$I$6,0)</f>
        <v>550</v>
      </c>
      <c r="U15" s="49">
        <f>IFERROR(TRIM[[#This Row],[LF Add]]+TRIM[[#This Row],[Material Mark Up]]+TRIM[[#This Row],[Total Cost]],0)</f>
        <v>1033.4712500000001</v>
      </c>
      <c r="V15" s="49">
        <f>IFERROR(TRIM[[#This Row],[Total Raw]]/TRIM[[#This Row],[Lin.Ft.]],"")</f>
        <v>2.9527750000000004</v>
      </c>
      <c r="W15" s="49">
        <f>INDEX(finish[Rate],MATCH(TRIM[[#This Row],[FINISH HELP]],finish[Finish],0))</f>
        <v>1</v>
      </c>
      <c r="X15" s="49">
        <f>IFERROR((TRIM[[#This Row],[cost/L.F.]]*(1+$I$7)),"")</f>
        <v>3.2480525000000005</v>
      </c>
      <c r="Y15" s="49">
        <f>IFERROR(TRIM[[#This Row],[Knife Grind]]+TRIM[[#This Row],[Set-up]],"")</f>
        <v>725</v>
      </c>
      <c r="Z15" s="1"/>
    </row>
    <row r="16" spans="1:26" x14ac:dyDescent="0.25">
      <c r="A16" s="91">
        <f>IF(TRIM[[#This Row],[Species]]=0,"",IF(TRIM[[#This Row],[Lin.Ft.]]&gt;1,(MAX($A$14:$A15)+1),""))</f>
        <v>2</v>
      </c>
      <c r="B16" s="1" t="str">
        <f>'Trim Take Off'!$C$20</f>
        <v>Poplar</v>
      </c>
      <c r="C16" s="1" t="str">
        <f>IF(TRIM[[#This Row],[Width]]&gt;5.25,"LARGE",IF(TRIM[[#This Row],[Width]]&gt;3,"AVG",IF(TRIM[[#This Row],[Width]]="","","SMALL")))</f>
        <v>AVG</v>
      </c>
      <c r="D16" s="1" t="str">
        <f>IF(TRIM[[#This Row],[Species]]="","",IF(TRIM[[#This Row],[Species]]="POPLAR","PRIMED",IF(TRIM[[#This Row],[Species]]="MDF","PRIMED","STAINED")))</f>
        <v>PRIMED</v>
      </c>
      <c r="E16" s="1" t="str">
        <f>TRIM[[#This Row],[Finish]]&amp;" "&amp;TRIM[[#This Row],[Finish Size]]</f>
        <v>PRIMED AVG</v>
      </c>
      <c r="F16" t="s">
        <v>71</v>
      </c>
      <c r="G16" t="str">
        <f>'Trim Take Off'!$C$16&amp;" "&amp;TRIM[[#This Row],[Type]]</f>
        <v>CRAFTSMAN CASE</v>
      </c>
      <c r="H16" s="1" t="str">
        <f>IFERROR(TRIM[[#This Row],[Species]]&amp;" "&amp;TRIM[[#This Row],[Finish]]&amp;" "&amp;TRIM[[#This Row],[Type]]&amp;" "&amp;TRIM[[#This Row],[Width]]&amp;" x "&amp;TRIM[[#This Row],[Thickness]],"")</f>
        <v>Poplar PRIMED CASE 3.25 x 0.625</v>
      </c>
      <c r="I16" s="78">
        <f>IFERROR(INDEX(Table5[ACTUAL WIDTH],MATCH(TRIM[[#This Row],[NAME TYPE]],Table5[DESCRIPTION],0)),)</f>
        <v>3.25</v>
      </c>
      <c r="J16" s="78">
        <f>IFERROR(INDEX(Table5[ACTUAL THICKNESS],MATCH(TRIM[[#This Row],[NAME TYPE]],Table5[DESCRIPTION],0)),"")</f>
        <v>0.625</v>
      </c>
      <c r="K16" s="1">
        <f>INDEX(lumber[Rough],MATCH(TRIM[[#This Row],[Thickness]],lumber[Finish],1))</f>
        <v>1</v>
      </c>
      <c r="L16" s="1">
        <f>IFERROR(INDEX(Table5[LF],MATCH(TRIM[[#This Row],[NAME TYPE]],Table5[DESCRIPTION],0)),0)</f>
        <v>714</v>
      </c>
      <c r="M16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0.50024999999999997</v>
      </c>
      <c r="N16" s="1">
        <f>IF(TRIM[[#This Row],[Width]]&gt;6,INDEX(Table10[1 sorted],MATCH(TRIM[[#This Row],[Species]],Table10[Species],0)),INDEX(Table10[1],MATCH(TRIM[[#This Row],[Species]],Table10[Species],0)))</f>
        <v>2.2999999999999998</v>
      </c>
      <c r="O16" s="1">
        <f>TRIM[[#This Row],[Factor]]*TRIM[[#This Row],[Lin.Ft.]]</f>
        <v>357.17849999999999</v>
      </c>
      <c r="P16" s="49">
        <f>TRIM[[#This Row],[BF]]*TRIM[[#This Row],[Cost/BF]]</f>
        <v>821.51054999999985</v>
      </c>
      <c r="Q16" s="49">
        <f>IF(TRIM[[#This Row],[BF]]="","",P16*I$3)</f>
        <v>205.37763749999996</v>
      </c>
      <c r="R16" s="49">
        <f t="shared" si="0"/>
        <v>175</v>
      </c>
      <c r="S16" s="49">
        <f>TRIM[[#This Row],[Lin.Ft.]]*$I$5</f>
        <v>606.9</v>
      </c>
      <c r="T16" s="49">
        <f>IF('Trim Take Off'!$C$17="custom",(TRIM[[#This Row],[Width]]+0.25)*$I$6,0)</f>
        <v>350</v>
      </c>
      <c r="U16" s="49">
        <f>IFERROR(TRIM[[#This Row],[LF Add]]+TRIM[[#This Row],[Material Mark Up]]+TRIM[[#This Row],[Total Cost]],0)</f>
        <v>1633.7881874999998</v>
      </c>
      <c r="V16" s="49">
        <f>IFERROR(TRIM[[#This Row],[Total Raw]]/TRIM[[#This Row],[Lin.Ft.]],"")</f>
        <v>2.28821875</v>
      </c>
      <c r="W16" s="49">
        <f>INDEX(finish[Rate],MATCH(TRIM[[#This Row],[FINISH HELP]],finish[Finish],0))</f>
        <v>1</v>
      </c>
      <c r="X16" s="49">
        <f>IFERROR((TRIM[[#This Row],[cost/L.F.]]*(1+$I$7)),"")</f>
        <v>2.5170406250000004</v>
      </c>
      <c r="Y16" s="49">
        <f>IFERROR(TRIM[[#This Row],[Knife Grind]]+TRIM[[#This Row],[Set-up]],"")</f>
        <v>525</v>
      </c>
      <c r="Z16" s="1"/>
    </row>
    <row r="17" spans="1:26" x14ac:dyDescent="0.25">
      <c r="A17" s="91">
        <f>IF(TRIM[[#This Row],[Species]]=0,"",IF(TRIM[[#This Row],[Lin.Ft.]]&gt;1,(MAX($A$14:$A16)+1),""))</f>
        <v>3</v>
      </c>
      <c r="B17" s="1" t="str">
        <f>'Trim Take Off'!$C$20</f>
        <v>Poplar</v>
      </c>
      <c r="C17" s="1" t="str">
        <f>IF(TRIM[[#This Row],[Width]]&gt;5.25,"LARGE",IF(TRIM[[#This Row],[Width]]&gt;3,"AVG",IF(TRIM[[#This Row],[Width]]="","","SMALL")))</f>
        <v>AVG</v>
      </c>
      <c r="D17" s="1" t="str">
        <f>IF(TRIM[[#This Row],[Species]]="","",IF(TRIM[[#This Row],[Species]]="POPLAR","PRIMED",IF(TRIM[[#This Row],[Species]]="MDF","PRIMED","STAINED")))</f>
        <v>PRIMED</v>
      </c>
      <c r="E17" s="1" t="str">
        <f>TRIM[[#This Row],[Finish]]&amp;" "&amp;TRIM[[#This Row],[Finish Size]]</f>
        <v>PRIMED AVG</v>
      </c>
      <c r="F17" t="s">
        <v>72</v>
      </c>
      <c r="G17" t="str">
        <f>'Trim Take Off'!$C$16&amp;" "&amp;TRIM[[#This Row],[Type]]</f>
        <v>CRAFTSMAN HEADER</v>
      </c>
      <c r="H17" s="1" t="str">
        <f>IFERROR(TRIM[[#This Row],[Species]]&amp;" "&amp;TRIM[[#This Row],[Finish]]&amp;" "&amp;TRIM[[#This Row],[Type]]&amp;" "&amp;TRIM[[#This Row],[Width]]&amp;" x "&amp;TRIM[[#This Row],[Thickness]],"")</f>
        <v>Poplar PRIMED HEADER 5.25 x 0.875</v>
      </c>
      <c r="I17" s="78">
        <f>IFERROR(INDEX(Table5[ACTUAL WIDTH],MATCH(TRIM[[#This Row],[NAME TYPE]],Table5[DESCRIPTION],0)),)</f>
        <v>5.25</v>
      </c>
      <c r="J17" s="78">
        <f>IFERROR(INDEX(Table5[ACTUAL THICKNESS],MATCH(TRIM[[#This Row],[NAME TYPE]],Table5[DESCRIPTION],0)),"")</f>
        <v>0.875</v>
      </c>
      <c r="K17" s="1">
        <f>INDEX(lumber[Rough],MATCH(TRIM[[#This Row],[Thickness]],lumber[Finish],1))</f>
        <v>1</v>
      </c>
      <c r="L17" s="1">
        <f>IFERROR(INDEX(Table5[LF],MATCH(TRIM[[#This Row],[NAME TYPE]],Table5[DESCRIPTION],0)),0)</f>
        <v>139.5</v>
      </c>
      <c r="M17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0.73139999999999994</v>
      </c>
      <c r="N17" s="1">
        <f>IF(TRIM[[#This Row],[Width]]&gt;6,INDEX(Table10[1 sorted],MATCH(TRIM[[#This Row],[Species]],Table10[Species],0)),INDEX(Table10[1],MATCH(TRIM[[#This Row],[Species]],Table10[Species],0)))</f>
        <v>2.2999999999999998</v>
      </c>
      <c r="O17" s="1">
        <f>TRIM[[#This Row],[Factor]]*TRIM[[#This Row],[Lin.Ft.]]</f>
        <v>102.0303</v>
      </c>
      <c r="P17" s="49">
        <f>TRIM[[#This Row],[BF]]*TRIM[[#This Row],[Cost/BF]]</f>
        <v>234.66968999999997</v>
      </c>
      <c r="Q17" s="49">
        <f>IF(TRIM[[#This Row],[BF]]="","",P17*I$3)</f>
        <v>58.667422499999994</v>
      </c>
      <c r="R17" s="49">
        <f t="shared" si="0"/>
        <v>175</v>
      </c>
      <c r="S17" s="49">
        <f>TRIM[[#This Row],[Lin.Ft.]]*$I$5</f>
        <v>118.575</v>
      </c>
      <c r="T17" s="49">
        <f>IF('Trim Take Off'!$C$17="custom",(TRIM[[#This Row],[Width]]+0.25)*$I$6,0)</f>
        <v>550</v>
      </c>
      <c r="U17" s="49">
        <f>IFERROR(TRIM[[#This Row],[LF Add]]+TRIM[[#This Row],[Material Mark Up]]+TRIM[[#This Row],[Total Cost]],0)</f>
        <v>411.91211249999998</v>
      </c>
      <c r="V17" s="49">
        <f>IFERROR(TRIM[[#This Row],[Total Raw]]/TRIM[[#This Row],[Lin.Ft.]],"")</f>
        <v>2.9527749999999999</v>
      </c>
      <c r="W17" s="49">
        <f>INDEX(finish[Rate],MATCH(TRIM[[#This Row],[FINISH HELP]],finish[Finish],0))</f>
        <v>1</v>
      </c>
      <c r="X17" s="49">
        <f>IFERROR((TRIM[[#This Row],[cost/L.F.]]*(1+$I$7)),"")</f>
        <v>3.2480525</v>
      </c>
      <c r="Y17" s="49">
        <f>IFERROR(TRIM[[#This Row],[Knife Grind]]+TRIM[[#This Row],[Set-up]],"")</f>
        <v>725</v>
      </c>
      <c r="Z17" s="1"/>
    </row>
    <row r="18" spans="1:26" x14ac:dyDescent="0.25">
      <c r="A18" s="91">
        <f>IF(TRIM[[#This Row],[Species]]=0,"",IF(TRIM[[#This Row],[Lin.Ft.]]&gt;1,(MAX($A$14:$A17)+1),""))</f>
        <v>4</v>
      </c>
      <c r="B18" s="1" t="str">
        <f>'Trim Take Off'!$C$20</f>
        <v>Poplar</v>
      </c>
      <c r="C18" s="1" t="str">
        <f>IF(TRIM[[#This Row],[Width]]&gt;5.25,"LARGE",IF(TRIM[[#This Row],[Width]]&gt;3,"AVG",IF(TRIM[[#This Row],[Width]]="","","SMALL")))</f>
        <v>AVG</v>
      </c>
      <c r="D18" s="1" t="str">
        <f>IF(TRIM[[#This Row],[Species]]="","",IF(TRIM[[#This Row],[Species]]="POPLAR","PRIMED",IF(TRIM[[#This Row],[Species]]="MDF","PRIMED","STAINED")))</f>
        <v>PRIMED</v>
      </c>
      <c r="E18" s="1" t="str">
        <f>TRIM[[#This Row],[Finish]]&amp;" "&amp;TRIM[[#This Row],[Finish Size]]</f>
        <v>PRIMED AVG</v>
      </c>
      <c r="F18" t="s">
        <v>73</v>
      </c>
      <c r="G18" t="str">
        <f>'Trim Take Off'!$C$16&amp;" "&amp;TRIM[[#This Row],[Type]]</f>
        <v>CRAFTSMAN INT JAMB</v>
      </c>
      <c r="H18" s="1" t="str">
        <f>IFERROR(TRIM[[#This Row],[Species]]&amp;" "&amp;TRIM[[#This Row],[Finish]]&amp;" "&amp;TRIM[[#This Row],[Type]]&amp;" "&amp;TRIM[[#This Row],[Width]]&amp;" x "&amp;TRIM[[#This Row],[Thickness]],"")</f>
        <v>Poplar PRIMED INT JAMB 4.75 x 0.75</v>
      </c>
      <c r="I18" s="78">
        <f>IFERROR(INDEX(Table5[ACTUAL WIDTH],MATCH(TRIM[[#This Row],[NAME TYPE]],Table5[DESCRIPTION],0)),)</f>
        <v>4.75</v>
      </c>
      <c r="J18" s="78">
        <f>IFERROR(INDEX(Table5[ACTUAL THICKNESS],MATCH(TRIM[[#This Row],[NAME TYPE]],Table5[DESCRIPTION],0)),"")</f>
        <v>0.75</v>
      </c>
      <c r="K18" s="1">
        <f>INDEX(lumber[Rough],MATCH(TRIM[[#This Row],[Thickness]],lumber[Finish],1))</f>
        <v>1</v>
      </c>
      <c r="L18" s="1">
        <f>IFERROR(INDEX(Table5[LF],MATCH(TRIM[[#This Row],[NAME TYPE]],Table5[DESCRIPTION],0)),0)</f>
        <v>21</v>
      </c>
      <c r="M18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0.65664999999999984</v>
      </c>
      <c r="N18" s="1">
        <f>IF(TRIM[[#This Row],[Width]]&gt;6,INDEX(Table10[1 sorted],MATCH(TRIM[[#This Row],[Species]],Table10[Species],0)),INDEX(Table10[1],MATCH(TRIM[[#This Row],[Species]],Table10[Species],0)))</f>
        <v>2.2999999999999998</v>
      </c>
      <c r="O18" s="1">
        <f>TRIM[[#This Row],[Factor]]*TRIM[[#This Row],[Lin.Ft.]]</f>
        <v>13.789649999999996</v>
      </c>
      <c r="P18" s="49">
        <f>TRIM[[#This Row],[BF]]*TRIM[[#This Row],[Cost/BF]]</f>
        <v>31.716194999999988</v>
      </c>
      <c r="Q18" s="49">
        <f>IF(TRIM[[#This Row],[BF]]="","",P18*I$3)</f>
        <v>7.9290487499999971</v>
      </c>
      <c r="R18" s="49">
        <f t="shared" si="0"/>
        <v>175</v>
      </c>
      <c r="S18" s="49">
        <f>TRIM[[#This Row],[Lin.Ft.]]*$I$5</f>
        <v>17.849999999999998</v>
      </c>
      <c r="T18" s="49">
        <f>IF('Trim Take Off'!$C$17="custom",(TRIM[[#This Row],[Width]]+0.25)*$I$6,0)</f>
        <v>500</v>
      </c>
      <c r="U18" s="49">
        <f>IFERROR(TRIM[[#This Row],[LF Add]]+TRIM[[#This Row],[Material Mark Up]]+TRIM[[#This Row],[Total Cost]],0)</f>
        <v>57.495243749999986</v>
      </c>
      <c r="V18" s="49">
        <f>IFERROR(TRIM[[#This Row],[Total Raw]]/TRIM[[#This Row],[Lin.Ft.]],"")</f>
        <v>2.7378687499999992</v>
      </c>
      <c r="W18" s="49">
        <f>INDEX(finish[Rate],MATCH(TRIM[[#This Row],[FINISH HELP]],finish[Finish],0))</f>
        <v>1</v>
      </c>
      <c r="X18" s="49">
        <f>IFERROR((TRIM[[#This Row],[cost/L.F.]]*(1+$I$7)),"")</f>
        <v>3.0116556249999995</v>
      </c>
      <c r="Y18" s="49">
        <f>IFERROR(TRIM[[#This Row],[Knife Grind]]+TRIM[[#This Row],[Set-up]],"")</f>
        <v>675</v>
      </c>
    </row>
    <row r="19" spans="1:26" x14ac:dyDescent="0.25">
      <c r="A19" s="91">
        <f>IF(TRIM[[#This Row],[Species]]=0,"",IF(TRIM[[#This Row],[Lin.Ft.]]&gt;1,(MAX($A$14:$A18)+1),""))</f>
        <v>5</v>
      </c>
      <c r="B19" s="1" t="str">
        <f>'Trim Take Off'!$C$20</f>
        <v>Poplar</v>
      </c>
      <c r="C19" s="1" t="str">
        <f>IF(TRIM[[#This Row],[Width]]&gt;5.25,"LARGE",IF(TRIM[[#This Row],[Width]]&gt;3,"AVG",IF(TRIM[[#This Row],[Width]]="","","SMALL")))</f>
        <v>LARGE</v>
      </c>
      <c r="D19" s="1" t="str">
        <f>IF(TRIM[[#This Row],[Species]]="","",IF(TRIM[[#This Row],[Species]]="POPLAR","PRIMED",IF(TRIM[[#This Row],[Species]]="MDF","PRIMED","STAINED")))</f>
        <v>PRIMED</v>
      </c>
      <c r="E19" s="1" t="str">
        <f>TRIM[[#This Row],[Finish]]&amp;" "&amp;TRIM[[#This Row],[Finish Size]]</f>
        <v>PRIMED LARGE</v>
      </c>
      <c r="F19" t="s">
        <v>74</v>
      </c>
      <c r="G19" t="str">
        <f>'Trim Take Off'!$C$16&amp;" "&amp;TRIM[[#This Row],[Type]]</f>
        <v>CRAFTSMAN WINDOW JAMB</v>
      </c>
      <c r="H19" s="1" t="str">
        <f>IFERROR(TRIM[[#This Row],[Species]]&amp;" "&amp;TRIM[[#This Row],[Finish]]&amp;" "&amp;TRIM[[#This Row],[Type]]&amp;" "&amp;TRIM[[#This Row],[Width]]&amp;" x "&amp;TRIM[[#This Row],[Thickness]],"")</f>
        <v>Poplar PRIMED WINDOW JAMB 6 x 0.75</v>
      </c>
      <c r="I19" s="78">
        <f>IFERROR(INDEX(Table5[ACTUAL WIDTH],MATCH(TRIM[[#This Row],[NAME TYPE]],Table5[DESCRIPTION],0)),)</f>
        <v>6</v>
      </c>
      <c r="J19" s="78">
        <f>IFERROR(INDEX(Table5[ACTUAL THICKNESS],MATCH(TRIM[[#This Row],[NAME TYPE]],Table5[DESCRIPTION],0)),"")</f>
        <v>0.75</v>
      </c>
      <c r="K19" s="1">
        <f>INDEX(lumber[Rough],MATCH(TRIM[[#This Row],[Thickness]],lumber[Finish],1))</f>
        <v>1</v>
      </c>
      <c r="L19" s="1">
        <f>IFERROR(INDEX(Table5[LF],MATCH(TRIM[[#This Row],[NAME TYPE]],Table5[DESCRIPTION],0)),0)</f>
        <v>273</v>
      </c>
      <c r="M19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0.80499999999999994</v>
      </c>
      <c r="N19" s="1">
        <f>IF(TRIM[[#This Row],[Width]]&gt;6,INDEX(Table10[1 sorted],MATCH(TRIM[[#This Row],[Species]],Table10[Species],0)),INDEX(Table10[1],MATCH(TRIM[[#This Row],[Species]],Table10[Species],0)))</f>
        <v>2.2999999999999998</v>
      </c>
      <c r="O19" s="1">
        <f>TRIM[[#This Row],[Factor]]*TRIM[[#This Row],[Lin.Ft.]]</f>
        <v>219.76499999999999</v>
      </c>
      <c r="P19" s="49">
        <f>TRIM[[#This Row],[BF]]*TRIM[[#This Row],[Cost/BF]]</f>
        <v>505.45949999999993</v>
      </c>
      <c r="Q19" s="49">
        <f>IF(TRIM[[#This Row],[BF]]="","",P19*I$3)</f>
        <v>126.36487499999998</v>
      </c>
      <c r="R19" s="49">
        <f t="shared" si="0"/>
        <v>175</v>
      </c>
      <c r="S19" s="49">
        <f>TRIM[[#This Row],[Lin.Ft.]]*$I$5</f>
        <v>232.04999999999998</v>
      </c>
      <c r="T19" s="49">
        <f>IF('Trim Take Off'!$C$17="custom",(TRIM[[#This Row],[Width]]+0.25)*$I$6,0)</f>
        <v>625</v>
      </c>
      <c r="U19" s="49">
        <f>IFERROR(TRIM[[#This Row],[LF Add]]+TRIM[[#This Row],[Material Mark Up]]+TRIM[[#This Row],[Total Cost]],0)</f>
        <v>863.87437499999987</v>
      </c>
      <c r="V19" s="49">
        <f>IFERROR(TRIM[[#This Row],[Total Raw]]/TRIM[[#This Row],[Lin.Ft.]],"")</f>
        <v>3.1643749999999997</v>
      </c>
      <c r="W19" s="49">
        <f>INDEX(finish[Rate],MATCH(TRIM[[#This Row],[FINISH HELP]],finish[Finish],0))</f>
        <v>1.1499999999999999</v>
      </c>
      <c r="X19" s="49">
        <f>IFERROR((TRIM[[#This Row],[cost/L.F.]]*(1+$I$7)),"")</f>
        <v>3.4808124999999999</v>
      </c>
      <c r="Y19" s="49">
        <f>IFERROR(TRIM[[#This Row],[Knife Grind]]+TRIM[[#This Row],[Set-up]],"")</f>
        <v>800</v>
      </c>
    </row>
    <row r="20" spans="1:26" x14ac:dyDescent="0.25">
      <c r="A20" s="91">
        <f>IF(TRIM[[#This Row],[Species]]=0,"",IF(TRIM[[#This Row],[Lin.Ft.]]&gt;1,(MAX($A$14:$A19)+1),""))</f>
        <v>6</v>
      </c>
      <c r="B20" s="1" t="str">
        <f>'Trim Take Off'!$C$20</f>
        <v>Poplar</v>
      </c>
      <c r="C20" s="1" t="str">
        <f>IF(TRIM[[#This Row],[Width]]&gt;5.25,"LARGE",IF(TRIM[[#This Row],[Width]]&gt;3,"AVG",IF(TRIM[[#This Row],[Width]]="","","SMALL")))</f>
        <v>LARGE</v>
      </c>
      <c r="D20" s="1" t="str">
        <f>IF(TRIM[[#This Row],[Species]]="","",IF(TRIM[[#This Row],[Species]]="POPLAR","PRIMED",IF(TRIM[[#This Row],[Species]]="MDF","PRIMED","STAINED")))</f>
        <v>PRIMED</v>
      </c>
      <c r="E20" s="1" t="str">
        <f>TRIM[[#This Row],[Finish]]&amp;" "&amp;TRIM[[#This Row],[Finish Size]]</f>
        <v>PRIMED LARGE</v>
      </c>
      <c r="F20" t="s">
        <v>75</v>
      </c>
      <c r="G20" t="str">
        <f>'Trim Take Off'!$C$16&amp;" "&amp;TRIM[[#This Row],[Type]]</f>
        <v>CRAFTSMAN SILL</v>
      </c>
      <c r="H20" s="1" t="str">
        <f>IFERROR(TRIM[[#This Row],[Species]]&amp;" "&amp;TRIM[[#This Row],[Finish]]&amp;" "&amp;TRIM[[#This Row],[Type]]&amp;" "&amp;TRIM[[#This Row],[Width]]&amp;" x "&amp;TRIM[[#This Row],[Thickness]],"")</f>
        <v>Poplar PRIMED SILL 7.25 x 0.75</v>
      </c>
      <c r="I20" s="78">
        <f>IFERROR(INDEX(Table5[ACTUAL WIDTH],MATCH(TRIM[[#This Row],[NAME TYPE]],Table5[DESCRIPTION],0)),)</f>
        <v>7.25</v>
      </c>
      <c r="J20" s="78">
        <f>IFERROR(INDEX(Table5[ACTUAL THICKNESS],MATCH(TRIM[[#This Row],[NAME TYPE]],Table5[DESCRIPTION],0)),"")</f>
        <v>0.75</v>
      </c>
      <c r="K20" s="1">
        <f>INDEX(lumber[Rough],MATCH(TRIM[[#This Row],[Thickness]],lumber[Finish],1))</f>
        <v>1</v>
      </c>
      <c r="L20" s="1">
        <f>IFERROR(INDEX(Table5[LF],MATCH(TRIM[[#This Row],[NAME TYPE]],Table5[DESCRIPTION],0)),0)</f>
        <v>139.5</v>
      </c>
      <c r="M20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0.93035000000000001</v>
      </c>
      <c r="N20" s="1">
        <f>IF(TRIM[[#This Row],[Width]]&gt;6,INDEX(Table10[1 sorted],MATCH(TRIM[[#This Row],[Species]],Table10[Species],0)),INDEX(Table10[1],MATCH(TRIM[[#This Row],[Species]],Table10[Species],0)))</f>
        <v>2.2999999999999998</v>
      </c>
      <c r="O20" s="1">
        <f>TRIM[[#This Row],[Factor]]*TRIM[[#This Row],[Lin.Ft.]]</f>
        <v>129.78382500000001</v>
      </c>
      <c r="P20" s="49">
        <f>TRIM[[#This Row],[BF]]*TRIM[[#This Row],[Cost/BF]]</f>
        <v>298.50279749999999</v>
      </c>
      <c r="Q20" s="49">
        <f>IF(TRIM[[#This Row],[BF]]="","",P20*I$3)</f>
        <v>74.625699374999996</v>
      </c>
      <c r="R20" s="49">
        <f t="shared" si="0"/>
        <v>175</v>
      </c>
      <c r="S20" s="49">
        <f>TRIM[[#This Row],[Lin.Ft.]]*$I$5</f>
        <v>118.575</v>
      </c>
      <c r="T20" s="49">
        <f>IF('Trim Take Off'!$C$17="custom",(TRIM[[#This Row],[Width]]+0.25)*$I$6,0)</f>
        <v>750</v>
      </c>
      <c r="U20" s="49">
        <f>IFERROR(TRIM[[#This Row],[LF Add]]+TRIM[[#This Row],[Material Mark Up]]+TRIM[[#This Row],[Total Cost]],0)</f>
        <v>491.70349687499998</v>
      </c>
      <c r="V20" s="49">
        <f>IFERROR(TRIM[[#This Row],[Total Raw]]/TRIM[[#This Row],[Lin.Ft.]],"")</f>
        <v>3.5247562499999998</v>
      </c>
      <c r="W20" s="49">
        <f>INDEX(finish[Rate],MATCH(TRIM[[#This Row],[FINISH HELP]],finish[Finish],0))</f>
        <v>1.1499999999999999</v>
      </c>
      <c r="X20" s="49">
        <f>IFERROR((TRIM[[#This Row],[cost/L.F.]]*(1+$I$7)),"")</f>
        <v>3.8772318750000001</v>
      </c>
      <c r="Y20" s="49">
        <f>IFERROR(TRIM[[#This Row],[Knife Grind]]+TRIM[[#This Row],[Set-up]],"")</f>
        <v>925</v>
      </c>
    </row>
    <row r="21" spans="1:26" x14ac:dyDescent="0.25">
      <c r="A21" s="91">
        <f>IF(TRIM[[#This Row],[Species]]=0,"",IF(TRIM[[#This Row],[Lin.Ft.]]&gt;1,(MAX($A$14:$A20)+1),""))</f>
        <v>7</v>
      </c>
      <c r="B21" s="1" t="str">
        <f>'Trim Take Off'!$C$20</f>
        <v>Poplar</v>
      </c>
      <c r="C21" s="1" t="str">
        <f>IF(TRIM[[#This Row],[Width]]&gt;5.25,"LARGE",IF(TRIM[[#This Row],[Width]]&gt;3,"AVG",IF(TRIM[[#This Row],[Width]]="","","SMALL")))</f>
        <v>AVG</v>
      </c>
      <c r="D21" s="1" t="str">
        <f>IF(TRIM[[#This Row],[Species]]="","",IF(TRIM[[#This Row],[Species]]="POPLAR","PRIMED",IF(TRIM[[#This Row],[Species]]="MDF","PRIMED","STAINED")))</f>
        <v>PRIMED</v>
      </c>
      <c r="E21" s="1" t="str">
        <f>TRIM[[#This Row],[Finish]]&amp;" "&amp;TRIM[[#This Row],[Finish Size]]</f>
        <v>PRIMED AVG</v>
      </c>
      <c r="F21" t="s">
        <v>76</v>
      </c>
      <c r="G21" t="str">
        <f>'Trim Take Off'!$C$16&amp;" "&amp;TRIM[[#This Row],[Type]]</f>
        <v>CRAFTSMAN APRON</v>
      </c>
      <c r="H21" s="1" t="str">
        <f>IFERROR(TRIM[[#This Row],[Species]]&amp;" "&amp;TRIM[[#This Row],[Finish]]&amp;" "&amp;TRIM[[#This Row],[Type]]&amp;" "&amp;TRIM[[#This Row],[Width]]&amp;" x "&amp;TRIM[[#This Row],[Thickness]],"")</f>
        <v>Poplar PRIMED APRON 5.25 x 0.5</v>
      </c>
      <c r="I21" s="78">
        <f>IFERROR(INDEX(Table5[ACTUAL WIDTH],MATCH(TRIM[[#This Row],[NAME TYPE]],Table5[DESCRIPTION],0)),)</f>
        <v>5.25</v>
      </c>
      <c r="J21" s="78">
        <f>IFERROR(INDEX(Table5[ACTUAL THICKNESS],MATCH(TRIM[[#This Row],[NAME TYPE]],Table5[DESCRIPTION],0)),"")</f>
        <v>0.5</v>
      </c>
      <c r="K21" s="1">
        <f>INDEX(lumber[Rough],MATCH(TRIM[[#This Row],[Thickness]],lumber[Finish],1))</f>
        <v>1</v>
      </c>
      <c r="L21" s="1">
        <f>IFERROR(INDEX(Table5[LF],MATCH(TRIM[[#This Row],[NAME TYPE]],Table5[DESCRIPTION],0)),0)</f>
        <v>139.5</v>
      </c>
      <c r="M21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0.73139999999999994</v>
      </c>
      <c r="N21" s="1">
        <f>IF(TRIM[[#This Row],[Width]]&gt;6,INDEX(Table10[1 sorted],MATCH(TRIM[[#This Row],[Species]],Table10[Species],0)),INDEX(Table10[1],MATCH(TRIM[[#This Row],[Species]],Table10[Species],0)))</f>
        <v>2.2999999999999998</v>
      </c>
      <c r="O21" s="1">
        <f>TRIM[[#This Row],[Factor]]*TRIM[[#This Row],[Lin.Ft.]]</f>
        <v>102.0303</v>
      </c>
      <c r="P21" s="49">
        <f>TRIM[[#This Row],[BF]]*TRIM[[#This Row],[Cost/BF]]</f>
        <v>234.66968999999997</v>
      </c>
      <c r="Q21" s="49">
        <f>IF(TRIM[[#This Row],[BF]]="","",P21*I$3)</f>
        <v>58.667422499999994</v>
      </c>
      <c r="R21" s="49">
        <f t="shared" si="0"/>
        <v>175</v>
      </c>
      <c r="S21" s="49">
        <f>TRIM[[#This Row],[Lin.Ft.]]*$I$5</f>
        <v>118.575</v>
      </c>
      <c r="T21" s="49">
        <f>IF('Trim Take Off'!$C$17="custom",(TRIM[[#This Row],[Width]]+0.25)*$I$6,0)</f>
        <v>550</v>
      </c>
      <c r="U21" s="49">
        <f>IFERROR(TRIM[[#This Row],[LF Add]]+TRIM[[#This Row],[Material Mark Up]]+TRIM[[#This Row],[Total Cost]],0)</f>
        <v>411.91211249999998</v>
      </c>
      <c r="V21" s="49">
        <f>IFERROR(TRIM[[#This Row],[Total Raw]]/TRIM[[#This Row],[Lin.Ft.]],"")</f>
        <v>2.9527749999999999</v>
      </c>
      <c r="W21" s="49">
        <f>INDEX(finish[Rate],MATCH(TRIM[[#This Row],[FINISH HELP]],finish[Finish],0))</f>
        <v>1</v>
      </c>
      <c r="X21" s="49">
        <f>IFERROR((TRIM[[#This Row],[cost/L.F.]]*(1+$I$7)),"")</f>
        <v>3.2480525</v>
      </c>
      <c r="Y21" s="49">
        <f>IFERROR(TRIM[[#This Row],[Knife Grind]]+TRIM[[#This Row],[Set-up]],"")</f>
        <v>725</v>
      </c>
    </row>
    <row r="22" spans="1:26" x14ac:dyDescent="0.25">
      <c r="A22" s="91" t="str">
        <f>IF(TRIM[[#This Row],[Species]]=0,"",IF(TRIM[[#This Row],[Lin.Ft.]]&gt;1,(MAX($A$14:$A21)+1),""))</f>
        <v/>
      </c>
      <c r="B22" s="1" t="str">
        <f>'Trim Take Off'!$C$20</f>
        <v>Poplar</v>
      </c>
      <c r="C22" s="1" t="str">
        <f>IF(TRIM[[#This Row],[Width]]&gt;5.25,"LARGE",IF(TRIM[[#This Row],[Width]]&gt;3,"AVG",IF(TRIM[[#This Row],[Width]]="","","SMALL")))</f>
        <v>SMALL</v>
      </c>
      <c r="D22" s="1" t="str">
        <f>IF(TRIM[[#This Row],[Species]]="","",IF(TRIM[[#This Row],[Species]]="POPLAR","PRIMED",IF(TRIM[[#This Row],[Species]]="MDF","PRIMED","STAINED")))</f>
        <v>PRIMED</v>
      </c>
      <c r="E22" s="1" t="str">
        <f>TRIM[[#This Row],[Finish]]&amp;" "&amp;TRIM[[#This Row],[Finish Size]]</f>
        <v>PRIMED SMALL</v>
      </c>
      <c r="F22" t="s">
        <v>77</v>
      </c>
      <c r="G22" t="str">
        <f>'Trim Take Off'!$C$16&amp;" "&amp;TRIM[[#This Row],[Type]]</f>
        <v>CRAFTSMAN DENTIL</v>
      </c>
      <c r="H22" s="1" t="str">
        <f>IFERROR(TRIM[[#This Row],[Species]]&amp;" "&amp;TRIM[[#This Row],[Finish]]&amp;" "&amp;TRIM[[#This Row],[Type]]&amp;" "&amp;TRIM[[#This Row],[Width]]&amp;" x "&amp;TRIM[[#This Row],[Thickness]],"")</f>
        <v xml:space="preserve">Poplar PRIMED DENTIL 0 x </v>
      </c>
      <c r="I22" s="78">
        <f>IFERROR(INDEX(Table5[ACTUAL WIDTH],MATCH(TRIM[[#This Row],[NAME TYPE]],Table5[DESCRIPTION],0)),)</f>
        <v>0</v>
      </c>
      <c r="J22" s="78" t="str">
        <f>IFERROR(INDEX(Table5[ACTUAL THICKNESS],MATCH(TRIM[[#This Row],[NAME TYPE]],Table5[DESCRIPTION],0)),"")</f>
        <v/>
      </c>
      <c r="K22" s="1" t="e">
        <f>INDEX(lumber[Rough],MATCH(TRIM[[#This Row],[Thickness]],lumber[Finish],1))</f>
        <v>#N/A</v>
      </c>
      <c r="L22" s="1">
        <f>IFERROR(INDEX(Table5[LF],MATCH(TRIM[[#This Row],[NAME TYPE]],Table5[DESCRIPTION],0)),0)</f>
        <v>0</v>
      </c>
      <c r="M22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</v>
      </c>
      <c r="N22" s="1">
        <f>IF(TRIM[[#This Row],[Width]]&gt;6,INDEX(Table10[1 sorted],MATCH(TRIM[[#This Row],[Species]],Table10[Species],0)),INDEX(Table10[1],MATCH(TRIM[[#This Row],[Species]],Table10[Species],0)))</f>
        <v>2.2999999999999998</v>
      </c>
      <c r="O22" s="1">
        <f>TRIM[[#This Row],[Factor]]*TRIM[[#This Row],[Lin.Ft.]]</f>
        <v>0</v>
      </c>
      <c r="P22" s="49">
        <f>TRIM[[#This Row],[BF]]*TRIM[[#This Row],[Cost/BF]]</f>
        <v>0</v>
      </c>
      <c r="Q22" s="49">
        <f>IF(TRIM[[#This Row],[BF]]="","",P22*I$3)</f>
        <v>0</v>
      </c>
      <c r="R22" s="49">
        <f t="shared" si="0"/>
        <v>175</v>
      </c>
      <c r="S22" s="49">
        <f>TRIM[[#This Row],[Lin.Ft.]]*$I$5</f>
        <v>0</v>
      </c>
      <c r="T22" s="49">
        <f>IF('Trim Take Off'!$C$17="custom",(TRIM[[#This Row],[Width]]+0.25)*$I$6,0)</f>
        <v>25</v>
      </c>
      <c r="U22" s="49">
        <f>IFERROR(TRIM[[#This Row],[LF Add]]+TRIM[[#This Row],[Material Mark Up]]+TRIM[[#This Row],[Total Cost]],0)</f>
        <v>0</v>
      </c>
      <c r="V22" s="49" t="str">
        <f>IFERROR(TRIM[[#This Row],[Total Raw]]/TRIM[[#This Row],[Lin.Ft.]],"")</f>
        <v/>
      </c>
      <c r="W22" s="49">
        <f>INDEX(finish[Rate],MATCH(TRIM[[#This Row],[FINISH HELP]],finish[Finish],0))</f>
        <v>0.85</v>
      </c>
      <c r="X22" s="49" t="str">
        <f>IFERROR((TRIM[[#This Row],[cost/L.F.]]*(1+$I$7)),"")</f>
        <v/>
      </c>
      <c r="Y22" s="49">
        <f>IFERROR(TRIM[[#This Row],[Knife Grind]]+TRIM[[#This Row],[Set-up]],"")</f>
        <v>200</v>
      </c>
    </row>
    <row r="23" spans="1:26" x14ac:dyDescent="0.25">
      <c r="A23" s="91" t="str">
        <f>IF(TRIM[[#This Row],[Species]]=0,"",IF(TRIM[[#This Row],[Lin.Ft.]]&gt;1,(MAX($A$14:$A22)+1),""))</f>
        <v/>
      </c>
      <c r="B23" s="1">
        <f>'Trim Take Off'!$C$21</f>
        <v>0</v>
      </c>
      <c r="C23" s="1" t="str">
        <f>IF(TRIM[[#This Row],[Width]]&gt;5.25,"LARGE",IF(TRIM[[#This Row],[Width]]&gt;3,"AVG",IF(TRIM[[#This Row],[Width]]="","","SMALL")))</f>
        <v>AVG</v>
      </c>
      <c r="D23" s="1" t="str">
        <f>IF(TRIM[[#This Row],[Species]]="","",IF(TRIM[[#This Row],[Species]]="POPLAR","PRIMED",IF(TRIM[[#This Row],[Species]]="MDF","PRIMED","STAINED")))</f>
        <v>STAINED</v>
      </c>
      <c r="E23" s="1" t="str">
        <f>TRIM[[#This Row],[Finish]]&amp;" "&amp;TRIM[[#This Row],[Finish Size]]</f>
        <v>STAINED AVG</v>
      </c>
      <c r="F23" t="s">
        <v>70</v>
      </c>
      <c r="G23" t="str">
        <f>'Trim Take Off'!$C$16&amp;" "&amp;TRIM[[#This Row],[Type]]</f>
        <v>CRAFTSMAN BASE</v>
      </c>
      <c r="H23" s="1" t="str">
        <f>IFERROR(TRIM[[#This Row],[Species]]&amp;" "&amp;TRIM[[#This Row],[Finish]]&amp;" "&amp;TRIM[[#This Row],[Type]]&amp;" "&amp;TRIM[[#This Row],[Width]]&amp;" x "&amp;TRIM[[#This Row],[Thickness]],"")</f>
        <v>0 STAINED BASE 5.25 x 0.5</v>
      </c>
      <c r="I23" s="78">
        <f>IFERROR(INDEX(Table5[ACTUAL WIDTH],MATCH(TRIM[[#This Row],[NAME TYPE]],Table5[DESCRIPTION],0)),)</f>
        <v>5.25</v>
      </c>
      <c r="J23" s="78">
        <f>IFERROR(INDEX(Table5[ACTUAL THICKNESS],MATCH(TRIM[[#This Row],[NAME TYPE]],Table5[DESCRIPTION],0)),"")</f>
        <v>0.5</v>
      </c>
      <c r="K23" s="1">
        <f>INDEX(lumber[Rough],MATCH(TRIM[[#This Row],[Thickness]],lumber[Finish],1))</f>
        <v>1</v>
      </c>
      <c r="L23" s="1">
        <f>IFERROR(INDEX(Table5[LF],MATCH(TRIM[[#This Row],[NAME TYPE]],Table5[DESCRIPTION],0)),0)</f>
        <v>350</v>
      </c>
      <c r="M23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0.73139999999999994</v>
      </c>
      <c r="N23" s="1" t="e">
        <f>IF(TRIM[[#This Row],[Width]]&gt;6,INDEX(Table10[1 sorted],MATCH(TRIM[[#This Row],[Species]],Table10[Species],0)),INDEX(Table10[1],MATCH(TRIM[[#This Row],[Species]],Table10[Species],0)))</f>
        <v>#N/A</v>
      </c>
      <c r="O23" s="1">
        <f>TRIM[[#This Row],[Factor]]*TRIM[[#This Row],[Lin.Ft.]]</f>
        <v>255.98999999999998</v>
      </c>
      <c r="P23" s="49" t="e">
        <f>TRIM[[#This Row],[BF]]*TRIM[[#This Row],[Cost/BF]]</f>
        <v>#N/A</v>
      </c>
      <c r="Q23" s="49" t="e">
        <f>IF(TRIM[[#This Row],[BF]]="","",P23*I$3)</f>
        <v>#N/A</v>
      </c>
      <c r="R23" s="49">
        <f t="shared" si="0"/>
        <v>175</v>
      </c>
      <c r="S23" s="49">
        <f>TRIM[[#This Row],[Lin.Ft.]]*$I$5</f>
        <v>297.5</v>
      </c>
      <c r="T23" s="49">
        <f>IF('Trim Take Off'!$C$17="custom",(TRIM[[#This Row],[Width]]+0.25)*$I$6,0)</f>
        <v>550</v>
      </c>
      <c r="U23" s="49">
        <f>IFERROR(TRIM[[#This Row],[LF Add]]+TRIM[[#This Row],[Material Mark Up]]+TRIM[[#This Row],[Total Cost]],0)</f>
        <v>0</v>
      </c>
      <c r="V23" s="49">
        <f>IFERROR(TRIM[[#This Row],[Total Raw]]/TRIM[[#This Row],[Lin.Ft.]],"")</f>
        <v>0</v>
      </c>
      <c r="W23" s="49">
        <f>INDEX(finish[Rate],MATCH(TRIM[[#This Row],[FINISH HELP]],finish[Finish],0))</f>
        <v>2.25</v>
      </c>
      <c r="X23" s="49">
        <f>IFERROR((TRIM[[#This Row],[cost/L.F.]]*(1+$I$7)),"")</f>
        <v>0</v>
      </c>
      <c r="Y23" s="49">
        <f>IFERROR(TRIM[[#This Row],[Knife Grind]]+TRIM[[#This Row],[Set-up]],"")</f>
        <v>725</v>
      </c>
    </row>
    <row r="24" spans="1:26" x14ac:dyDescent="0.25">
      <c r="A24" s="91" t="str">
        <f>IF(TRIM[[#This Row],[Species]]=0,"",IF(TRIM[[#This Row],[Lin.Ft.]]&gt;1,(MAX($A$14:$A23)+1),""))</f>
        <v/>
      </c>
      <c r="B24" s="1">
        <f>'Trim Take Off'!$C$21</f>
        <v>0</v>
      </c>
      <c r="C24" s="1" t="str">
        <f>IF(TRIM[[#This Row],[Width]]&gt;5.25,"LARGE",IF(TRIM[[#This Row],[Width]]&gt;3,"AVG",IF(TRIM[[#This Row],[Width]]="","","SMALL")))</f>
        <v>AVG</v>
      </c>
      <c r="D24" s="1" t="str">
        <f>IF(TRIM[[#This Row],[Species]]="","",IF(TRIM[[#This Row],[Species]]="POPLAR","PRIMED",IF(TRIM[[#This Row],[Species]]="MDF","PRIMED","STAINED")))</f>
        <v>STAINED</v>
      </c>
      <c r="E24" s="1" t="str">
        <f>TRIM[[#This Row],[Finish]]&amp;" "&amp;TRIM[[#This Row],[Finish Size]]</f>
        <v>STAINED AVG</v>
      </c>
      <c r="F24" t="s">
        <v>71</v>
      </c>
      <c r="G24" t="str">
        <f>'Trim Take Off'!$C$16&amp;" "&amp;TRIM[[#This Row],[Type]]</f>
        <v>CRAFTSMAN CASE</v>
      </c>
      <c r="H24" s="1" t="str">
        <f>IFERROR(TRIM[[#This Row],[Species]]&amp;" "&amp;TRIM[[#This Row],[Finish]]&amp;" "&amp;TRIM[[#This Row],[Type]]&amp;" "&amp;TRIM[[#This Row],[Width]]&amp;" x "&amp;TRIM[[#This Row],[Thickness]],"")</f>
        <v>0 STAINED CASE 3.25 x 0.625</v>
      </c>
      <c r="I24" s="78">
        <f>IFERROR(INDEX(Table5[ACTUAL WIDTH],MATCH(TRIM[[#This Row],[NAME TYPE]],Table5[DESCRIPTION],0)),)</f>
        <v>3.25</v>
      </c>
      <c r="J24" s="78">
        <f>IFERROR(INDEX(Table5[ACTUAL THICKNESS],MATCH(TRIM[[#This Row],[NAME TYPE]],Table5[DESCRIPTION],0)),"")</f>
        <v>0.625</v>
      </c>
      <c r="K24" s="1">
        <f>INDEX(lumber[Rough],MATCH(TRIM[[#This Row],[Thickness]],lumber[Finish],1))</f>
        <v>1</v>
      </c>
      <c r="L24" s="1">
        <f>IFERROR(INDEX(Table5[LF],MATCH(TRIM[[#This Row],[NAME TYPE]],Table5[DESCRIPTION],0)),0)</f>
        <v>714</v>
      </c>
      <c r="M24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0.50024999999999997</v>
      </c>
      <c r="N24" s="1" t="e">
        <f>IF(TRIM[[#This Row],[Width]]&gt;6,INDEX(Table10[1 sorted],MATCH(TRIM[[#This Row],[Species]],Table10[Species],0)),INDEX(Table10[1],MATCH(TRIM[[#This Row],[Species]],Table10[Species],0)))</f>
        <v>#N/A</v>
      </c>
      <c r="O24" s="1">
        <f>TRIM[[#This Row],[Factor]]*TRIM[[#This Row],[Lin.Ft.]]</f>
        <v>357.17849999999999</v>
      </c>
      <c r="P24" s="49" t="e">
        <f>TRIM[[#This Row],[BF]]*TRIM[[#This Row],[Cost/BF]]</f>
        <v>#N/A</v>
      </c>
      <c r="Q24" s="49" t="e">
        <f>IF(TRIM[[#This Row],[BF]]="","",P24*I$3)</f>
        <v>#N/A</v>
      </c>
      <c r="R24" s="49">
        <f t="shared" si="0"/>
        <v>175</v>
      </c>
      <c r="S24" s="49">
        <f>TRIM[[#This Row],[Lin.Ft.]]*$I$5</f>
        <v>606.9</v>
      </c>
      <c r="T24" s="49">
        <f>IF('Trim Take Off'!$C$17="custom",(TRIM[[#This Row],[Width]]+0.25)*$I$6,0)</f>
        <v>350</v>
      </c>
      <c r="U24" s="49">
        <f>IFERROR(TRIM[[#This Row],[LF Add]]+TRIM[[#This Row],[Material Mark Up]]+TRIM[[#This Row],[Total Cost]],0)</f>
        <v>0</v>
      </c>
      <c r="V24" s="49">
        <f>IFERROR(TRIM[[#This Row],[Total Raw]]/TRIM[[#This Row],[Lin.Ft.]],"")</f>
        <v>0</v>
      </c>
      <c r="W24" s="49">
        <f>INDEX(finish[Rate],MATCH(TRIM[[#This Row],[FINISH HELP]],finish[Finish],0))</f>
        <v>2.25</v>
      </c>
      <c r="X24" s="49">
        <f>IFERROR((TRIM[[#This Row],[cost/L.F.]]*(1+$I$7)),"")</f>
        <v>0</v>
      </c>
      <c r="Y24" s="49">
        <f>IFERROR(TRIM[[#This Row],[Knife Grind]]+TRIM[[#This Row],[Set-up]],"")</f>
        <v>525</v>
      </c>
    </row>
    <row r="25" spans="1:26" x14ac:dyDescent="0.25">
      <c r="A25" s="91" t="str">
        <f>IF(TRIM[[#This Row],[Species]]=0,"",IF(TRIM[[#This Row],[Lin.Ft.]]&gt;1,(MAX($A$14:$A24)+1),""))</f>
        <v/>
      </c>
      <c r="B25" s="1">
        <f>'Trim Take Off'!$C$21</f>
        <v>0</v>
      </c>
      <c r="C25" s="1" t="str">
        <f>IF(TRIM[[#This Row],[Width]]&gt;5.25,"LARGE",IF(TRIM[[#This Row],[Width]]&gt;3,"AVG",IF(TRIM[[#This Row],[Width]]="","","SMALL")))</f>
        <v>AVG</v>
      </c>
      <c r="D25" s="1" t="str">
        <f>IF(TRIM[[#This Row],[Species]]="","",IF(TRIM[[#This Row],[Species]]="POPLAR","PRIMED",IF(TRIM[[#This Row],[Species]]="MDF","PRIMED","STAINED")))</f>
        <v>STAINED</v>
      </c>
      <c r="E25" s="1" t="str">
        <f>TRIM[[#This Row],[Finish]]&amp;" "&amp;TRIM[[#This Row],[Finish Size]]</f>
        <v>STAINED AVG</v>
      </c>
      <c r="F25" t="s">
        <v>72</v>
      </c>
      <c r="G25" t="str">
        <f>'Trim Take Off'!$C$16&amp;" "&amp;TRIM[[#This Row],[Type]]</f>
        <v>CRAFTSMAN HEADER</v>
      </c>
      <c r="H25" s="1" t="str">
        <f>IFERROR(TRIM[[#This Row],[Species]]&amp;" "&amp;TRIM[[#This Row],[Finish]]&amp;" "&amp;TRIM[[#This Row],[Type]]&amp;" "&amp;TRIM[[#This Row],[Width]]&amp;" x "&amp;TRIM[[#This Row],[Thickness]],"")</f>
        <v>0 STAINED HEADER 5.25 x 0.875</v>
      </c>
      <c r="I25" s="78">
        <f>IFERROR(INDEX(Table5[ACTUAL WIDTH],MATCH(TRIM[[#This Row],[NAME TYPE]],Table5[DESCRIPTION],0)),)</f>
        <v>5.25</v>
      </c>
      <c r="J25" s="78">
        <f>IFERROR(INDEX(Table5[ACTUAL THICKNESS],MATCH(TRIM[[#This Row],[NAME TYPE]],Table5[DESCRIPTION],0)),"")</f>
        <v>0.875</v>
      </c>
      <c r="K25" s="1">
        <f>INDEX(lumber[Rough],MATCH(TRIM[[#This Row],[Thickness]],lumber[Finish],1))</f>
        <v>1</v>
      </c>
      <c r="L25" s="1">
        <f>IFERROR(INDEX(Table5[LF],MATCH(TRIM[[#This Row],[NAME TYPE]],Table5[DESCRIPTION],0)),0)</f>
        <v>139.5</v>
      </c>
      <c r="M25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0.73139999999999994</v>
      </c>
      <c r="N25" s="1" t="e">
        <f>IF(TRIM[[#This Row],[Width]]&gt;6,INDEX(Table10[1 sorted],MATCH(TRIM[[#This Row],[Species]],Table10[Species],0)),INDEX(Table10[1],MATCH(TRIM[[#This Row],[Species]],Table10[Species],0)))</f>
        <v>#N/A</v>
      </c>
      <c r="O25" s="1">
        <f>TRIM[[#This Row],[Factor]]*TRIM[[#This Row],[Lin.Ft.]]</f>
        <v>102.0303</v>
      </c>
      <c r="P25" s="49" t="e">
        <f>TRIM[[#This Row],[BF]]*TRIM[[#This Row],[Cost/BF]]</f>
        <v>#N/A</v>
      </c>
      <c r="Q25" s="49" t="e">
        <f>IF(TRIM[[#This Row],[BF]]="","",P25*I$3)</f>
        <v>#N/A</v>
      </c>
      <c r="R25" s="49">
        <f t="shared" si="0"/>
        <v>175</v>
      </c>
      <c r="S25" s="49">
        <f>TRIM[[#This Row],[Lin.Ft.]]*$I$5</f>
        <v>118.575</v>
      </c>
      <c r="T25" s="49">
        <f>IF('Trim Take Off'!$C$17="custom",(TRIM[[#This Row],[Width]]+0.25)*$I$6,0)</f>
        <v>550</v>
      </c>
      <c r="U25" s="49">
        <f>IFERROR(TRIM[[#This Row],[LF Add]]+TRIM[[#This Row],[Material Mark Up]]+TRIM[[#This Row],[Total Cost]],0)</f>
        <v>0</v>
      </c>
      <c r="V25" s="49">
        <f>IFERROR(TRIM[[#This Row],[Total Raw]]/TRIM[[#This Row],[Lin.Ft.]],"")</f>
        <v>0</v>
      </c>
      <c r="W25" s="49">
        <f>INDEX(finish[Rate],MATCH(TRIM[[#This Row],[FINISH HELP]],finish[Finish],0))</f>
        <v>2.25</v>
      </c>
      <c r="X25" s="49">
        <f>IFERROR((TRIM[[#This Row],[cost/L.F.]]*(1+$I$7)),"")</f>
        <v>0</v>
      </c>
      <c r="Y25" s="49">
        <f>IFERROR(TRIM[[#This Row],[Knife Grind]]+TRIM[[#This Row],[Set-up]],"")</f>
        <v>725</v>
      </c>
    </row>
    <row r="26" spans="1:26" x14ac:dyDescent="0.25">
      <c r="A26" s="91" t="str">
        <f>IF(TRIM[[#This Row],[Species]]=0,"",IF(TRIM[[#This Row],[Lin.Ft.]]&gt;1,(MAX($A$14:$A25)+1),""))</f>
        <v/>
      </c>
      <c r="B26" s="1">
        <f>'Trim Take Off'!$C$21</f>
        <v>0</v>
      </c>
      <c r="C26" s="1" t="str">
        <f>IF(TRIM[[#This Row],[Width]]&gt;5.25,"LARGE",IF(TRIM[[#This Row],[Width]]&gt;3,"AVG",IF(TRIM[[#This Row],[Width]]="","","SMALL")))</f>
        <v>AVG</v>
      </c>
      <c r="D26" s="1" t="str">
        <f>IF(TRIM[[#This Row],[Species]]="","",IF(TRIM[[#This Row],[Species]]="POPLAR","PRIMED",IF(TRIM[[#This Row],[Species]]="MDF","PRIMED","STAINED")))</f>
        <v>STAINED</v>
      </c>
      <c r="E26" s="1" t="str">
        <f>TRIM[[#This Row],[Finish]]&amp;" "&amp;TRIM[[#This Row],[Finish Size]]</f>
        <v>STAINED AVG</v>
      </c>
      <c r="F26" t="s">
        <v>73</v>
      </c>
      <c r="G26" t="str">
        <f>'Trim Take Off'!$C$16&amp;" "&amp;TRIM[[#This Row],[Type]]</f>
        <v>CRAFTSMAN INT JAMB</v>
      </c>
      <c r="H26" s="1" t="str">
        <f>IFERROR(TRIM[[#This Row],[Species]]&amp;" "&amp;TRIM[[#This Row],[Finish]]&amp;" "&amp;TRIM[[#This Row],[Type]]&amp;" "&amp;TRIM[[#This Row],[Width]]&amp;" x "&amp;TRIM[[#This Row],[Thickness]],"")</f>
        <v>0 STAINED INT JAMB 4.75 x 0.75</v>
      </c>
      <c r="I26" s="78">
        <f>IFERROR(INDEX(Table5[ACTUAL WIDTH],MATCH(TRIM[[#This Row],[NAME TYPE]],Table5[DESCRIPTION],0)),)</f>
        <v>4.75</v>
      </c>
      <c r="J26" s="78">
        <f>IFERROR(INDEX(Table5[ACTUAL THICKNESS],MATCH(TRIM[[#This Row],[NAME TYPE]],Table5[DESCRIPTION],0)),"")</f>
        <v>0.75</v>
      </c>
      <c r="K26" s="1">
        <f>INDEX(lumber[Rough],MATCH(TRIM[[#This Row],[Thickness]],lumber[Finish],1))</f>
        <v>1</v>
      </c>
      <c r="L26" s="1">
        <f>IFERROR(INDEX(Table5[LF],MATCH(TRIM[[#This Row],[NAME TYPE]],Table5[DESCRIPTION],0)),0)</f>
        <v>21</v>
      </c>
      <c r="M26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0.65664999999999984</v>
      </c>
      <c r="N26" s="1" t="e">
        <f>IF(TRIM[[#This Row],[Width]]&gt;6,INDEX(Table10[1 sorted],MATCH(TRIM[[#This Row],[Species]],Table10[Species],0)),INDEX(Table10[1],MATCH(TRIM[[#This Row],[Species]],Table10[Species],0)))</f>
        <v>#N/A</v>
      </c>
      <c r="O26" s="1">
        <f>TRIM[[#This Row],[Factor]]*TRIM[[#This Row],[Lin.Ft.]]</f>
        <v>13.789649999999996</v>
      </c>
      <c r="P26" s="49" t="e">
        <f>TRIM[[#This Row],[BF]]*TRIM[[#This Row],[Cost/BF]]</f>
        <v>#N/A</v>
      </c>
      <c r="Q26" s="49" t="e">
        <f>IF(TRIM[[#This Row],[BF]]="","",P26*I$3)</f>
        <v>#N/A</v>
      </c>
      <c r="R26" s="49">
        <f t="shared" si="0"/>
        <v>175</v>
      </c>
      <c r="S26" s="49">
        <f>TRIM[[#This Row],[Lin.Ft.]]*$I$5</f>
        <v>17.849999999999998</v>
      </c>
      <c r="T26" s="49">
        <f>IF('Trim Take Off'!$C$17="custom",(TRIM[[#This Row],[Width]]+0.25)*$I$6,0)</f>
        <v>500</v>
      </c>
      <c r="U26" s="49">
        <f>IFERROR(TRIM[[#This Row],[LF Add]]+TRIM[[#This Row],[Material Mark Up]]+TRIM[[#This Row],[Total Cost]],0)</f>
        <v>0</v>
      </c>
      <c r="V26" s="49">
        <f>IFERROR(TRIM[[#This Row],[Total Raw]]/TRIM[[#This Row],[Lin.Ft.]],"")</f>
        <v>0</v>
      </c>
      <c r="W26" s="49">
        <f>INDEX(finish[Rate],MATCH(TRIM[[#This Row],[FINISH HELP]],finish[Finish],0))</f>
        <v>2.25</v>
      </c>
      <c r="X26" s="49">
        <f>IFERROR((TRIM[[#This Row],[cost/L.F.]]*(1+$I$7)),"")</f>
        <v>0</v>
      </c>
      <c r="Y26" s="49">
        <f>IFERROR(TRIM[[#This Row],[Knife Grind]]+TRIM[[#This Row],[Set-up]],"")</f>
        <v>675</v>
      </c>
    </row>
    <row r="27" spans="1:26" x14ac:dyDescent="0.25">
      <c r="A27" s="91" t="str">
        <f>IF(TRIM[[#This Row],[Species]]=0,"",IF(TRIM[[#This Row],[Lin.Ft.]]&gt;1,(MAX($A$14:$A26)+1),""))</f>
        <v/>
      </c>
      <c r="B27" s="1">
        <f>'Trim Take Off'!$C$21</f>
        <v>0</v>
      </c>
      <c r="C27" s="1" t="str">
        <f>IF(TRIM[[#This Row],[Width]]&gt;5.25,"LARGE",IF(TRIM[[#This Row],[Width]]&gt;3,"AVG",IF(TRIM[[#This Row],[Width]]="","","SMALL")))</f>
        <v>LARGE</v>
      </c>
      <c r="D27" s="1" t="str">
        <f>IF(TRIM[[#This Row],[Species]]="","",IF(TRIM[[#This Row],[Species]]="POPLAR","PRIMED",IF(TRIM[[#This Row],[Species]]="MDF","PRIMED","STAINED")))</f>
        <v>STAINED</v>
      </c>
      <c r="E27" s="1" t="str">
        <f>TRIM[[#This Row],[Finish]]&amp;" "&amp;TRIM[[#This Row],[Finish Size]]</f>
        <v>STAINED LARGE</v>
      </c>
      <c r="F27" t="s">
        <v>74</v>
      </c>
      <c r="G27" t="str">
        <f>'Trim Take Off'!$C$16&amp;" "&amp;TRIM[[#This Row],[Type]]</f>
        <v>CRAFTSMAN WINDOW JAMB</v>
      </c>
      <c r="H27" s="1" t="str">
        <f>IFERROR(TRIM[[#This Row],[Species]]&amp;" "&amp;TRIM[[#This Row],[Finish]]&amp;" "&amp;TRIM[[#This Row],[Type]]&amp;" "&amp;TRIM[[#This Row],[Width]]&amp;" x "&amp;TRIM[[#This Row],[Thickness]],"")</f>
        <v>0 STAINED WINDOW JAMB 6 x 0.75</v>
      </c>
      <c r="I27" s="78">
        <f>IFERROR(INDEX(Table5[ACTUAL WIDTH],MATCH(TRIM[[#This Row],[NAME TYPE]],Table5[DESCRIPTION],0)),)</f>
        <v>6</v>
      </c>
      <c r="J27" s="78">
        <f>IFERROR(INDEX(Table5[ACTUAL THICKNESS],MATCH(TRIM[[#This Row],[NAME TYPE]],Table5[DESCRIPTION],0)),"")</f>
        <v>0.75</v>
      </c>
      <c r="K27" s="1">
        <f>INDEX(lumber[Rough],MATCH(TRIM[[#This Row],[Thickness]],lumber[Finish],1))</f>
        <v>1</v>
      </c>
      <c r="L27" s="1">
        <f>IFERROR(INDEX(Table5[LF],MATCH(TRIM[[#This Row],[NAME TYPE]],Table5[DESCRIPTION],0)),0)</f>
        <v>273</v>
      </c>
      <c r="M27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0.80499999999999994</v>
      </c>
      <c r="N27" s="1" t="e">
        <f>IF(TRIM[[#This Row],[Width]]&gt;6,INDEX(Table10[1 sorted],MATCH(TRIM[[#This Row],[Species]],Table10[Species],0)),INDEX(Table10[1],MATCH(TRIM[[#This Row],[Species]],Table10[Species],0)))</f>
        <v>#N/A</v>
      </c>
      <c r="O27" s="1">
        <f>TRIM[[#This Row],[Factor]]*TRIM[[#This Row],[Lin.Ft.]]</f>
        <v>219.76499999999999</v>
      </c>
      <c r="P27" s="49" t="e">
        <f>TRIM[[#This Row],[BF]]*TRIM[[#This Row],[Cost/BF]]</f>
        <v>#N/A</v>
      </c>
      <c r="Q27" s="49" t="e">
        <f>IF(TRIM[[#This Row],[BF]]="","",P27*I$3)</f>
        <v>#N/A</v>
      </c>
      <c r="R27" s="49">
        <f t="shared" si="0"/>
        <v>175</v>
      </c>
      <c r="S27" s="49">
        <f>TRIM[[#This Row],[Lin.Ft.]]*$I$5</f>
        <v>232.04999999999998</v>
      </c>
      <c r="T27" s="49">
        <f>IF('Trim Take Off'!$C$17="custom",(TRIM[[#This Row],[Width]]+0.25)*$I$6,0)</f>
        <v>625</v>
      </c>
      <c r="U27" s="49">
        <f>IFERROR(TRIM[[#This Row],[LF Add]]+TRIM[[#This Row],[Material Mark Up]]+TRIM[[#This Row],[Total Cost]],0)</f>
        <v>0</v>
      </c>
      <c r="V27" s="49">
        <f>IFERROR(TRIM[[#This Row],[Total Raw]]/TRIM[[#This Row],[Lin.Ft.]],"")</f>
        <v>0</v>
      </c>
      <c r="W27" s="49">
        <f>INDEX(finish[Rate],MATCH(TRIM[[#This Row],[FINISH HELP]],finish[Finish],0))</f>
        <v>2.5</v>
      </c>
      <c r="X27" s="49">
        <f>IFERROR((TRIM[[#This Row],[cost/L.F.]]*(1+$I$7)),"")</f>
        <v>0</v>
      </c>
      <c r="Y27" s="49">
        <f>IFERROR(TRIM[[#This Row],[Knife Grind]]+TRIM[[#This Row],[Set-up]],"")</f>
        <v>800</v>
      </c>
    </row>
    <row r="28" spans="1:26" x14ac:dyDescent="0.25">
      <c r="A28" s="91" t="str">
        <f>IF(TRIM[[#This Row],[Species]]=0,"",IF(TRIM[[#This Row],[Lin.Ft.]]&gt;1,(MAX($A$14:$A27)+1),""))</f>
        <v/>
      </c>
      <c r="B28" s="1">
        <f>'Trim Take Off'!$C$21</f>
        <v>0</v>
      </c>
      <c r="C28" s="1" t="str">
        <f>IF(TRIM[[#This Row],[Width]]&gt;5.25,"LARGE",IF(TRIM[[#This Row],[Width]]&gt;3,"AVG",IF(TRIM[[#This Row],[Width]]="","","SMALL")))</f>
        <v>LARGE</v>
      </c>
      <c r="D28" s="1" t="str">
        <f>IF(TRIM[[#This Row],[Species]]="","",IF(TRIM[[#This Row],[Species]]="POPLAR","PRIMED",IF(TRIM[[#This Row],[Species]]="MDF","PRIMED","STAINED")))</f>
        <v>STAINED</v>
      </c>
      <c r="E28" s="1" t="str">
        <f>TRIM[[#This Row],[Finish]]&amp;" "&amp;TRIM[[#This Row],[Finish Size]]</f>
        <v>STAINED LARGE</v>
      </c>
      <c r="F28" t="s">
        <v>75</v>
      </c>
      <c r="G28" t="str">
        <f>'Trim Take Off'!$C$16&amp;" "&amp;TRIM[[#This Row],[Type]]</f>
        <v>CRAFTSMAN SILL</v>
      </c>
      <c r="H28" s="1" t="str">
        <f>IFERROR(TRIM[[#This Row],[Species]]&amp;" "&amp;TRIM[[#This Row],[Finish]]&amp;" "&amp;TRIM[[#This Row],[Type]]&amp;" "&amp;TRIM[[#This Row],[Width]]&amp;" x "&amp;TRIM[[#This Row],[Thickness]],"")</f>
        <v>0 STAINED SILL 7.25 x 0.75</v>
      </c>
      <c r="I28" s="78">
        <f>IFERROR(INDEX(Table5[ACTUAL WIDTH],MATCH(TRIM[[#This Row],[NAME TYPE]],Table5[DESCRIPTION],0)),)</f>
        <v>7.25</v>
      </c>
      <c r="J28" s="78">
        <f>IFERROR(INDEX(Table5[ACTUAL THICKNESS],MATCH(TRIM[[#This Row],[NAME TYPE]],Table5[DESCRIPTION],0)),"")</f>
        <v>0.75</v>
      </c>
      <c r="K28" s="1">
        <f>INDEX(lumber[Rough],MATCH(TRIM[[#This Row],[Thickness]],lumber[Finish],1))</f>
        <v>1</v>
      </c>
      <c r="L28" s="1">
        <f>IFERROR(INDEX(Table5[LF],MATCH(TRIM[[#This Row],[NAME TYPE]],Table5[DESCRIPTION],0)),0)</f>
        <v>139.5</v>
      </c>
      <c r="M28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0.93035000000000001</v>
      </c>
      <c r="N28" s="1" t="e">
        <f>IF(TRIM[[#This Row],[Width]]&gt;6,INDEX(Table10[1 sorted],MATCH(TRIM[[#This Row],[Species]],Table10[Species],0)),INDEX(Table10[1],MATCH(TRIM[[#This Row],[Species]],Table10[Species],0)))</f>
        <v>#N/A</v>
      </c>
      <c r="O28" s="1">
        <f>TRIM[[#This Row],[Factor]]*TRIM[[#This Row],[Lin.Ft.]]</f>
        <v>129.78382500000001</v>
      </c>
      <c r="P28" s="49" t="e">
        <f>TRIM[[#This Row],[BF]]*TRIM[[#This Row],[Cost/BF]]</f>
        <v>#N/A</v>
      </c>
      <c r="Q28" s="49" t="e">
        <f>IF(TRIM[[#This Row],[BF]]="","",P28*I$3)</f>
        <v>#N/A</v>
      </c>
      <c r="R28" s="49">
        <f t="shared" si="0"/>
        <v>175</v>
      </c>
      <c r="S28" s="49">
        <f>TRIM[[#This Row],[Lin.Ft.]]*$I$5</f>
        <v>118.575</v>
      </c>
      <c r="T28" s="49">
        <f>IF('Trim Take Off'!$C$17="custom",(TRIM[[#This Row],[Width]]+0.25)*$I$6,0)</f>
        <v>750</v>
      </c>
      <c r="U28" s="49">
        <f>IFERROR(TRIM[[#This Row],[LF Add]]+TRIM[[#This Row],[Material Mark Up]]+TRIM[[#This Row],[Total Cost]],0)</f>
        <v>0</v>
      </c>
      <c r="V28" s="49">
        <f>IFERROR(TRIM[[#This Row],[Total Raw]]/TRIM[[#This Row],[Lin.Ft.]],"")</f>
        <v>0</v>
      </c>
      <c r="W28" s="49">
        <f>INDEX(finish[Rate],MATCH(TRIM[[#This Row],[FINISH HELP]],finish[Finish],0))</f>
        <v>2.5</v>
      </c>
      <c r="X28" s="49">
        <f>IFERROR((TRIM[[#This Row],[cost/L.F.]]*(1+$I$7)),"")</f>
        <v>0</v>
      </c>
      <c r="Y28" s="49">
        <f>IFERROR(TRIM[[#This Row],[Knife Grind]]+TRIM[[#This Row],[Set-up]],"")</f>
        <v>925</v>
      </c>
    </row>
    <row r="29" spans="1:26" x14ac:dyDescent="0.25">
      <c r="A29" s="91" t="str">
        <f>IF(TRIM[[#This Row],[Species]]=0,"",IF(TRIM[[#This Row],[Lin.Ft.]]&gt;1,(MAX($A$14:$A28)+1),""))</f>
        <v/>
      </c>
      <c r="B29" s="1">
        <f>'Trim Take Off'!$C$21</f>
        <v>0</v>
      </c>
      <c r="C29" s="1" t="str">
        <f>IF(TRIM[[#This Row],[Width]]&gt;5.25,"LARGE",IF(TRIM[[#This Row],[Width]]&gt;3,"AVG",IF(TRIM[[#This Row],[Width]]="","","SMALL")))</f>
        <v>AVG</v>
      </c>
      <c r="D29" s="1" t="str">
        <f>IF(TRIM[[#This Row],[Species]]="","",IF(TRIM[[#This Row],[Species]]="POPLAR","PRIMED",IF(TRIM[[#This Row],[Species]]="MDF","PRIMED","STAINED")))</f>
        <v>STAINED</v>
      </c>
      <c r="E29" s="1" t="str">
        <f>TRIM[[#This Row],[Finish]]&amp;" "&amp;TRIM[[#This Row],[Finish Size]]</f>
        <v>STAINED AVG</v>
      </c>
      <c r="F29" t="s">
        <v>76</v>
      </c>
      <c r="G29" t="str">
        <f>'Trim Take Off'!$C$16&amp;" "&amp;TRIM[[#This Row],[Type]]</f>
        <v>CRAFTSMAN APRON</v>
      </c>
      <c r="H29" s="1" t="str">
        <f>IFERROR(TRIM[[#This Row],[Species]]&amp;" "&amp;TRIM[[#This Row],[Finish]]&amp;" "&amp;TRIM[[#This Row],[Type]]&amp;" "&amp;TRIM[[#This Row],[Width]]&amp;" x "&amp;TRIM[[#This Row],[Thickness]],"")</f>
        <v>0 STAINED APRON 5.25 x 0.5</v>
      </c>
      <c r="I29" s="78">
        <f>IFERROR(INDEX(Table5[ACTUAL WIDTH],MATCH(TRIM[[#This Row],[NAME TYPE]],Table5[DESCRIPTION],0)),)</f>
        <v>5.25</v>
      </c>
      <c r="J29" s="78">
        <f>IFERROR(INDEX(Table5[ACTUAL THICKNESS],MATCH(TRIM[[#This Row],[NAME TYPE]],Table5[DESCRIPTION],0)),"")</f>
        <v>0.5</v>
      </c>
      <c r="K29" s="1">
        <f>INDEX(lumber[Rough],MATCH(TRIM[[#This Row],[Thickness]],lumber[Finish],1))</f>
        <v>1</v>
      </c>
      <c r="L29" s="1">
        <f>IFERROR(INDEX(Table5[LF],MATCH(TRIM[[#This Row],[NAME TYPE]],Table5[DESCRIPTION],0)),0)</f>
        <v>139.5</v>
      </c>
      <c r="M29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0.73139999999999994</v>
      </c>
      <c r="N29" s="1" t="e">
        <f>IF(TRIM[[#This Row],[Width]]&gt;6,INDEX(Table10[1 sorted],MATCH(TRIM[[#This Row],[Species]],Table10[Species],0)),INDEX(Table10[1],MATCH(TRIM[[#This Row],[Species]],Table10[Species],0)))</f>
        <v>#N/A</v>
      </c>
      <c r="O29" s="1">
        <f>TRIM[[#This Row],[Factor]]*TRIM[[#This Row],[Lin.Ft.]]</f>
        <v>102.0303</v>
      </c>
      <c r="P29" s="49" t="e">
        <f>TRIM[[#This Row],[BF]]*TRIM[[#This Row],[Cost/BF]]</f>
        <v>#N/A</v>
      </c>
      <c r="Q29" s="49" t="e">
        <f>IF(TRIM[[#This Row],[BF]]="","",P29*I$3)</f>
        <v>#N/A</v>
      </c>
      <c r="R29" s="49">
        <f t="shared" si="0"/>
        <v>175</v>
      </c>
      <c r="S29" s="49">
        <f>TRIM[[#This Row],[Lin.Ft.]]*$I$5</f>
        <v>118.575</v>
      </c>
      <c r="T29" s="49">
        <f>IF('Trim Take Off'!$C$17="custom",(TRIM[[#This Row],[Width]]+0.25)*$I$6,0)</f>
        <v>550</v>
      </c>
      <c r="U29" s="49">
        <f>IFERROR(TRIM[[#This Row],[LF Add]]+TRIM[[#This Row],[Material Mark Up]]+TRIM[[#This Row],[Total Cost]],0)</f>
        <v>0</v>
      </c>
      <c r="V29" s="49">
        <f>IFERROR(TRIM[[#This Row],[Total Raw]]/TRIM[[#This Row],[Lin.Ft.]],"")</f>
        <v>0</v>
      </c>
      <c r="W29" s="49">
        <f>INDEX(finish[Rate],MATCH(TRIM[[#This Row],[FINISH HELP]],finish[Finish],0))</f>
        <v>2.25</v>
      </c>
      <c r="X29" s="49">
        <f>IFERROR((TRIM[[#This Row],[cost/L.F.]]*(1+$I$7)),"")</f>
        <v>0</v>
      </c>
      <c r="Y29" s="49">
        <f>IFERROR(TRIM[[#This Row],[Knife Grind]]+TRIM[[#This Row],[Set-up]],"")</f>
        <v>725</v>
      </c>
    </row>
    <row r="30" spans="1:26" x14ac:dyDescent="0.25">
      <c r="A30" s="91" t="str">
        <f>IF(TRIM[[#This Row],[Species]]=0,"",IF(TRIM[[#This Row],[Lin.Ft.]]&gt;1,(MAX($A$14:$A29)+1),""))</f>
        <v/>
      </c>
      <c r="B30" s="1">
        <f>'Trim Take Off'!$C$21</f>
        <v>0</v>
      </c>
      <c r="C30" s="1" t="str">
        <f>IF(TRIM[[#This Row],[Width]]&gt;5.25,"LARGE",IF(TRIM[[#This Row],[Width]]&gt;3,"AVG",IF(TRIM[[#This Row],[Width]]="","","SMALL")))</f>
        <v>SMALL</v>
      </c>
      <c r="D30" s="1" t="str">
        <f>IF(TRIM[[#This Row],[Species]]="","",IF(TRIM[[#This Row],[Species]]="POPLAR","PRIMED",IF(TRIM[[#This Row],[Species]]="MDF","PRIMED","STAINED")))</f>
        <v>STAINED</v>
      </c>
      <c r="E30" s="1" t="str">
        <f>TRIM[[#This Row],[Finish]]&amp;" "&amp;TRIM[[#This Row],[Finish Size]]</f>
        <v>STAINED SMALL</v>
      </c>
      <c r="F30" t="s">
        <v>77</v>
      </c>
      <c r="G30" t="str">
        <f>'Trim Take Off'!$C$16&amp;" "&amp;TRIM[[#This Row],[Type]]</f>
        <v>CRAFTSMAN DENTIL</v>
      </c>
      <c r="H30" s="1" t="str">
        <f>IFERROR(TRIM[[#This Row],[Species]]&amp;" "&amp;TRIM[[#This Row],[Finish]]&amp;" "&amp;TRIM[[#This Row],[Type]]&amp;" "&amp;TRIM[[#This Row],[Width]]&amp;" x "&amp;TRIM[[#This Row],[Thickness]],"")</f>
        <v xml:space="preserve">0 STAINED DENTIL 0 x </v>
      </c>
      <c r="I30" s="78">
        <f>IFERROR(INDEX(Table5[ACTUAL WIDTH],MATCH(TRIM[[#This Row],[NAME TYPE]],Table5[DESCRIPTION],0)),)</f>
        <v>0</v>
      </c>
      <c r="J30" s="78" t="str">
        <f>IFERROR(INDEX(Table5[ACTUAL THICKNESS],MATCH(TRIM[[#This Row],[NAME TYPE]],Table5[DESCRIPTION],0)),"")</f>
        <v/>
      </c>
      <c r="K30" s="1" t="e">
        <f>INDEX(lumber[Rough],MATCH(TRIM[[#This Row],[Thickness]],lumber[Finish],1))</f>
        <v>#N/A</v>
      </c>
      <c r="L30" s="1">
        <f>IFERROR(INDEX(Table5[LF],MATCH(TRIM[[#This Row],[NAME TYPE]],Table5[DESCRIPTION],0)),0)</f>
        <v>0</v>
      </c>
      <c r="M30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</v>
      </c>
      <c r="N30" s="1" t="e">
        <f>IF(TRIM[[#This Row],[Width]]&gt;6,INDEX(Table10[1 sorted],MATCH(TRIM[[#This Row],[Species]],Table10[Species],0)),INDEX(Table10[1],MATCH(TRIM[[#This Row],[Species]],Table10[Species],0)))</f>
        <v>#N/A</v>
      </c>
      <c r="O30" s="1">
        <f>TRIM[[#This Row],[Factor]]*TRIM[[#This Row],[Lin.Ft.]]</f>
        <v>0</v>
      </c>
      <c r="P30" s="49" t="e">
        <f>TRIM[[#This Row],[BF]]*TRIM[[#This Row],[Cost/BF]]</f>
        <v>#N/A</v>
      </c>
      <c r="Q30" s="49" t="e">
        <f>IF(TRIM[[#This Row],[BF]]="","",P30*I$3)</f>
        <v>#N/A</v>
      </c>
      <c r="R30" s="49">
        <f t="shared" si="0"/>
        <v>175</v>
      </c>
      <c r="S30" s="49">
        <f>TRIM[[#This Row],[Lin.Ft.]]*$I$5</f>
        <v>0</v>
      </c>
      <c r="T30" s="49">
        <f>IF('Trim Take Off'!$C$17="custom",(TRIM[[#This Row],[Width]]+0.25)*$I$6,0)</f>
        <v>25</v>
      </c>
      <c r="U30" s="49">
        <f>IFERROR(TRIM[[#This Row],[LF Add]]+TRIM[[#This Row],[Material Mark Up]]+TRIM[[#This Row],[Total Cost]],0)</f>
        <v>0</v>
      </c>
      <c r="V30" s="49" t="str">
        <f>IFERROR(TRIM[[#This Row],[Total Raw]]/TRIM[[#This Row],[Lin.Ft.]],"")</f>
        <v/>
      </c>
      <c r="W30" s="49">
        <f>INDEX(finish[Rate],MATCH(TRIM[[#This Row],[FINISH HELP]],finish[Finish],0))</f>
        <v>2</v>
      </c>
      <c r="X30" s="49" t="str">
        <f>IFERROR((TRIM[[#This Row],[cost/L.F.]]*(1+$I$7)),"")</f>
        <v/>
      </c>
      <c r="Y30" s="49">
        <f>IFERROR(TRIM[[#This Row],[Knife Grind]]+TRIM[[#This Row],[Set-up]],"")</f>
        <v>200</v>
      </c>
    </row>
    <row r="31" spans="1:26" x14ac:dyDescent="0.25">
      <c r="A31" s="91" t="str">
        <f>IF(TRIM[[#This Row],[Species]]=0,"",IF(TRIM[[#This Row],[Lin.Ft.]]&gt;1,(MAX($A$14:$A30)+1),""))</f>
        <v/>
      </c>
      <c r="B31" s="1">
        <f>'Trim Take Off'!$C$22</f>
        <v>0</v>
      </c>
      <c r="C31" s="1" t="str">
        <f>IF(TRIM[[#This Row],[Width]]&gt;5.25,"LARGE",IF(TRIM[[#This Row],[Width]]&gt;3,"AVG",IF(TRIM[[#This Row],[Width]]="","","SMALL")))</f>
        <v>AVG</v>
      </c>
      <c r="D31" s="1" t="str">
        <f>IF(TRIM[[#This Row],[Species]]="","",IF(TRIM[[#This Row],[Species]]="POPLAR","PRIMED",IF(TRIM[[#This Row],[Species]]="MDF","PRIMED","STAINED")))</f>
        <v>STAINED</v>
      </c>
      <c r="E31" s="1" t="str">
        <f>TRIM[[#This Row],[Finish]]&amp;" "&amp;TRIM[[#This Row],[Finish Size]]</f>
        <v>STAINED AVG</v>
      </c>
      <c r="F31" t="s">
        <v>70</v>
      </c>
      <c r="G31" s="1" t="str">
        <f>'Trim Take Off'!$C$16&amp;" "&amp;TRIM[[#This Row],[Type]]</f>
        <v>CRAFTSMAN BASE</v>
      </c>
      <c r="H31" s="1" t="str">
        <f>IFERROR(TRIM[[#This Row],[Species]]&amp;" "&amp;TRIM[[#This Row],[Finish]]&amp;" "&amp;TRIM[[#This Row],[Type]]&amp;" "&amp;TRIM[[#This Row],[Width]]&amp;" x "&amp;TRIM[[#This Row],[Thickness]],"")</f>
        <v>0 STAINED BASE 5.25 x 0.5</v>
      </c>
      <c r="I31" s="78">
        <f>IFERROR(INDEX(Table5[ACTUAL WIDTH],MATCH(TRIM[[#This Row],[NAME TYPE]],Table5[DESCRIPTION],0)),)</f>
        <v>5.25</v>
      </c>
      <c r="J31" s="78">
        <f>IFERROR(INDEX(Table5[ACTUAL THICKNESS],MATCH(TRIM[[#This Row],[NAME TYPE]],Table5[DESCRIPTION],0)),"")</f>
        <v>0.5</v>
      </c>
      <c r="K31" s="1">
        <f>INDEX(lumber[Rough],MATCH(TRIM[[#This Row],[Thickness]],lumber[Finish],1))</f>
        <v>1</v>
      </c>
      <c r="L31" s="29">
        <f>IFERROR(INDEX(Table5[LF],MATCH(TRIM[[#This Row],[NAME TYPE]],Table5[DESCRIPTION],0)),0)</f>
        <v>350</v>
      </c>
      <c r="M31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0.73139999999999994</v>
      </c>
      <c r="N31" s="1" t="e">
        <f>IF(TRIM[[#This Row],[Width]]&gt;6,INDEX(Table10[1 sorted],MATCH(TRIM[[#This Row],[Species]],Table10[Species],0)),INDEX(Table10[1],MATCH(TRIM[[#This Row],[Species]],Table10[Species],0)))</f>
        <v>#N/A</v>
      </c>
      <c r="O31" s="1">
        <f>TRIM[[#This Row],[Factor]]*TRIM[[#This Row],[Lin.Ft.]]</f>
        <v>255.98999999999998</v>
      </c>
      <c r="P31" s="49" t="e">
        <f>TRIM[[#This Row],[BF]]*TRIM[[#This Row],[Cost/BF]]</f>
        <v>#N/A</v>
      </c>
      <c r="Q31" s="49" t="e">
        <f>IF(TRIM[[#This Row],[BF]]="","",P31*I$3)</f>
        <v>#N/A</v>
      </c>
      <c r="R31" s="49">
        <f t="shared" ref="R31:R41" si="1">$I$4</f>
        <v>175</v>
      </c>
      <c r="S31" s="49">
        <f>TRIM[[#This Row],[Lin.Ft.]]*$I$5</f>
        <v>297.5</v>
      </c>
      <c r="T31" s="49">
        <f>IF('Trim Take Off'!$C$17="custom",(TRIM[[#This Row],[Width]]+0.25)*$I$6,0)</f>
        <v>550</v>
      </c>
      <c r="U31" s="49">
        <f>IFERROR(TRIM[[#This Row],[LF Add]]+TRIM[[#This Row],[Material Mark Up]]+TRIM[[#This Row],[Total Cost]],0)</f>
        <v>0</v>
      </c>
      <c r="V31" s="49">
        <f>IFERROR(TRIM[[#This Row],[Total Raw]]/TRIM[[#This Row],[Lin.Ft.]],"")</f>
        <v>0</v>
      </c>
      <c r="W31" s="49">
        <f>INDEX(finish[Rate],MATCH(TRIM[[#This Row],[FINISH HELP]],finish[Finish],0))</f>
        <v>2.25</v>
      </c>
      <c r="X31" s="49">
        <f>IFERROR((TRIM[[#This Row],[cost/L.F.]]*(1+$I$7)),"")</f>
        <v>0</v>
      </c>
      <c r="Y31" s="49">
        <f>IFERROR(TRIM[[#This Row],[Knife Grind]]+TRIM[[#This Row],[Set-up]],"")</f>
        <v>725</v>
      </c>
    </row>
    <row r="32" spans="1:26" x14ac:dyDescent="0.25">
      <c r="A32" s="91" t="str">
        <f>IF(TRIM[[#This Row],[Species]]=0,"",IF(TRIM[[#This Row],[Lin.Ft.]]&gt;1,(MAX($A$14:$A31)+1),""))</f>
        <v/>
      </c>
      <c r="B32" s="1">
        <f>'Trim Take Off'!$C$22</f>
        <v>0</v>
      </c>
      <c r="C32" s="1" t="str">
        <f>IF(TRIM[[#This Row],[Width]]&gt;5.25,"LARGE",IF(TRIM[[#This Row],[Width]]&gt;3,"AVG",IF(TRIM[[#This Row],[Width]]="","","SMALL")))</f>
        <v>AVG</v>
      </c>
      <c r="D32" s="1" t="str">
        <f>IF(TRIM[[#This Row],[Species]]="","",IF(TRIM[[#This Row],[Species]]="POPLAR","PRIMED",IF(TRIM[[#This Row],[Species]]="MDF","PRIMED","STAINED")))</f>
        <v>STAINED</v>
      </c>
      <c r="E32" s="1" t="str">
        <f>TRIM[[#This Row],[Finish]]&amp;" "&amp;TRIM[[#This Row],[Finish Size]]</f>
        <v>STAINED AVG</v>
      </c>
      <c r="F32" t="s">
        <v>71</v>
      </c>
      <c r="G32" s="1" t="str">
        <f>'Trim Take Off'!$C$16&amp;" "&amp;TRIM[[#This Row],[Type]]</f>
        <v>CRAFTSMAN CASE</v>
      </c>
      <c r="H32" s="1" t="str">
        <f>IFERROR(TRIM[[#This Row],[Species]]&amp;" "&amp;TRIM[[#This Row],[Finish]]&amp;" "&amp;TRIM[[#This Row],[Type]]&amp;" "&amp;TRIM[[#This Row],[Width]]&amp;" x "&amp;TRIM[[#This Row],[Thickness]],"")</f>
        <v>0 STAINED CASE 3.25 x 0.625</v>
      </c>
      <c r="I32" s="78">
        <f>IFERROR(INDEX(Table5[ACTUAL WIDTH],MATCH(TRIM[[#This Row],[NAME TYPE]],Table5[DESCRIPTION],0)),)</f>
        <v>3.25</v>
      </c>
      <c r="J32" s="78">
        <f>IFERROR(INDEX(Table5[ACTUAL THICKNESS],MATCH(TRIM[[#This Row],[NAME TYPE]],Table5[DESCRIPTION],0)),"")</f>
        <v>0.625</v>
      </c>
      <c r="K32" s="1">
        <f>INDEX(lumber[Rough],MATCH(TRIM[[#This Row],[Thickness]],lumber[Finish],1))</f>
        <v>1</v>
      </c>
      <c r="L32" s="29">
        <f>IFERROR(INDEX(Table5[LF],MATCH(TRIM[[#This Row],[NAME TYPE]],Table5[DESCRIPTION],0)),0)</f>
        <v>714</v>
      </c>
      <c r="M32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0.50024999999999997</v>
      </c>
      <c r="N32" s="1" t="e">
        <f>IF(TRIM[[#This Row],[Width]]&gt;6,INDEX(Table10[1 sorted],MATCH(TRIM[[#This Row],[Species]],Table10[Species],0)),INDEX(Table10[1],MATCH(TRIM[[#This Row],[Species]],Table10[Species],0)))</f>
        <v>#N/A</v>
      </c>
      <c r="O32" s="1">
        <f>TRIM[[#This Row],[Factor]]*TRIM[[#This Row],[Lin.Ft.]]</f>
        <v>357.17849999999999</v>
      </c>
      <c r="P32" s="49" t="e">
        <f>TRIM[[#This Row],[BF]]*TRIM[[#This Row],[Cost/BF]]</f>
        <v>#N/A</v>
      </c>
      <c r="Q32" s="49" t="e">
        <f>IF(TRIM[[#This Row],[BF]]="","",P32*I$3)</f>
        <v>#N/A</v>
      </c>
      <c r="R32" s="49">
        <f t="shared" si="1"/>
        <v>175</v>
      </c>
      <c r="S32" s="49">
        <f>TRIM[[#This Row],[Lin.Ft.]]*$I$5</f>
        <v>606.9</v>
      </c>
      <c r="T32" s="49">
        <f>IF('Trim Take Off'!$C$17="custom",(TRIM[[#This Row],[Width]]+0.25)*$I$6,0)</f>
        <v>350</v>
      </c>
      <c r="U32" s="49">
        <f>IFERROR(TRIM[[#This Row],[LF Add]]+TRIM[[#This Row],[Material Mark Up]]+TRIM[[#This Row],[Total Cost]],0)</f>
        <v>0</v>
      </c>
      <c r="V32" s="49">
        <f>IFERROR(TRIM[[#This Row],[Total Raw]]/TRIM[[#This Row],[Lin.Ft.]],"")</f>
        <v>0</v>
      </c>
      <c r="W32" s="49">
        <f>INDEX(finish[Rate],MATCH(TRIM[[#This Row],[FINISH HELP]],finish[Finish],0))</f>
        <v>2.25</v>
      </c>
      <c r="X32" s="49">
        <f>IFERROR((TRIM[[#This Row],[cost/L.F.]]*(1+$I$7)),"")</f>
        <v>0</v>
      </c>
      <c r="Y32" s="49">
        <f>IFERROR(TRIM[[#This Row],[Knife Grind]]+TRIM[[#This Row],[Set-up]],"")</f>
        <v>525</v>
      </c>
    </row>
    <row r="33" spans="1:25" x14ac:dyDescent="0.25">
      <c r="A33" s="91" t="str">
        <f>IF(TRIM[[#This Row],[Species]]=0,"",IF(TRIM[[#This Row],[Lin.Ft.]]&gt;1,(MAX($A$14:$A32)+1),""))</f>
        <v/>
      </c>
      <c r="B33" s="1">
        <f>'Trim Take Off'!$C$22</f>
        <v>0</v>
      </c>
      <c r="C33" s="1" t="str">
        <f>IF(TRIM[[#This Row],[Width]]&gt;5.25,"LARGE",IF(TRIM[[#This Row],[Width]]&gt;3,"AVG",IF(TRIM[[#This Row],[Width]]="","","SMALL")))</f>
        <v>AVG</v>
      </c>
      <c r="D33" s="1" t="str">
        <f>IF(TRIM[[#This Row],[Species]]="","",IF(TRIM[[#This Row],[Species]]="POPLAR","PRIMED",IF(TRIM[[#This Row],[Species]]="MDF","PRIMED","STAINED")))</f>
        <v>STAINED</v>
      </c>
      <c r="E33" s="1" t="str">
        <f>TRIM[[#This Row],[Finish]]&amp;" "&amp;TRIM[[#This Row],[Finish Size]]</f>
        <v>STAINED AVG</v>
      </c>
      <c r="F33" t="s">
        <v>72</v>
      </c>
      <c r="G33" s="1" t="str">
        <f>'Trim Take Off'!$C$16&amp;" "&amp;TRIM[[#This Row],[Type]]</f>
        <v>CRAFTSMAN HEADER</v>
      </c>
      <c r="H33" s="1" t="str">
        <f>IFERROR(TRIM[[#This Row],[Species]]&amp;" "&amp;TRIM[[#This Row],[Finish]]&amp;" "&amp;TRIM[[#This Row],[Type]]&amp;" "&amp;TRIM[[#This Row],[Width]]&amp;" x "&amp;TRIM[[#This Row],[Thickness]],"")</f>
        <v>0 STAINED HEADER 5.25 x 0.875</v>
      </c>
      <c r="I33" s="78">
        <f>IFERROR(INDEX(Table5[ACTUAL WIDTH],MATCH(TRIM[[#This Row],[NAME TYPE]],Table5[DESCRIPTION],0)),)</f>
        <v>5.25</v>
      </c>
      <c r="J33" s="78">
        <f>IFERROR(INDEX(Table5[ACTUAL THICKNESS],MATCH(TRIM[[#This Row],[NAME TYPE]],Table5[DESCRIPTION],0)),"")</f>
        <v>0.875</v>
      </c>
      <c r="K33" s="1">
        <f>INDEX(lumber[Rough],MATCH(TRIM[[#This Row],[Thickness]],lumber[Finish],1))</f>
        <v>1</v>
      </c>
      <c r="L33" s="29">
        <f>IFERROR(INDEX(Table5[LF],MATCH(TRIM[[#This Row],[NAME TYPE]],Table5[DESCRIPTION],0)),0)</f>
        <v>139.5</v>
      </c>
      <c r="M33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0.73139999999999994</v>
      </c>
      <c r="N33" s="1" t="e">
        <f>IF(TRIM[[#This Row],[Width]]&gt;6,INDEX(Table10[1 sorted],MATCH(TRIM[[#This Row],[Species]],Table10[Species],0)),INDEX(Table10[1],MATCH(TRIM[[#This Row],[Species]],Table10[Species],0)))</f>
        <v>#N/A</v>
      </c>
      <c r="O33" s="1">
        <f>TRIM[[#This Row],[Factor]]*TRIM[[#This Row],[Lin.Ft.]]</f>
        <v>102.0303</v>
      </c>
      <c r="P33" s="49" t="e">
        <f>TRIM[[#This Row],[BF]]*TRIM[[#This Row],[Cost/BF]]</f>
        <v>#N/A</v>
      </c>
      <c r="Q33" s="49" t="e">
        <f>IF(TRIM[[#This Row],[BF]]="","",P33*I$3)</f>
        <v>#N/A</v>
      </c>
      <c r="R33" s="49">
        <f t="shared" si="1"/>
        <v>175</v>
      </c>
      <c r="S33" s="49">
        <f>TRIM[[#This Row],[Lin.Ft.]]*$I$5</f>
        <v>118.575</v>
      </c>
      <c r="T33" s="49">
        <f>IF('Trim Take Off'!$C$17="custom",(TRIM[[#This Row],[Width]]+0.25)*$I$6,0)</f>
        <v>550</v>
      </c>
      <c r="U33" s="49">
        <f>IFERROR(TRIM[[#This Row],[LF Add]]+TRIM[[#This Row],[Material Mark Up]]+TRIM[[#This Row],[Total Cost]],0)</f>
        <v>0</v>
      </c>
      <c r="V33" s="49">
        <f>IFERROR(TRIM[[#This Row],[Total Raw]]/TRIM[[#This Row],[Lin.Ft.]],"")</f>
        <v>0</v>
      </c>
      <c r="W33" s="49">
        <f>INDEX(finish[Rate],MATCH(TRIM[[#This Row],[FINISH HELP]],finish[Finish],0))</f>
        <v>2.25</v>
      </c>
      <c r="X33" s="49">
        <f>IFERROR((TRIM[[#This Row],[cost/L.F.]]*(1+$I$7)),"")</f>
        <v>0</v>
      </c>
      <c r="Y33" s="49">
        <f>IFERROR(TRIM[[#This Row],[Knife Grind]]+TRIM[[#This Row],[Set-up]],"")</f>
        <v>725</v>
      </c>
    </row>
    <row r="34" spans="1:25" x14ac:dyDescent="0.25">
      <c r="A34" s="91" t="str">
        <f>IF(TRIM[[#This Row],[Species]]=0,"",IF(TRIM[[#This Row],[Lin.Ft.]]&gt;1,(MAX($A$14:$A33)+1),""))</f>
        <v/>
      </c>
      <c r="B34" s="1">
        <f>'Trim Take Off'!$C$22</f>
        <v>0</v>
      </c>
      <c r="C34" s="1" t="str">
        <f>IF(TRIM[[#This Row],[Width]]&gt;5.25,"LARGE",IF(TRIM[[#This Row],[Width]]&gt;3,"AVG",IF(TRIM[[#This Row],[Width]]="","","SMALL")))</f>
        <v>AVG</v>
      </c>
      <c r="D34" s="1" t="str">
        <f>IF(TRIM[[#This Row],[Species]]="","",IF(TRIM[[#This Row],[Species]]="POPLAR","PRIMED",IF(TRIM[[#This Row],[Species]]="MDF","PRIMED","STAINED")))</f>
        <v>STAINED</v>
      </c>
      <c r="E34" s="1" t="str">
        <f>TRIM[[#This Row],[Finish]]&amp;" "&amp;TRIM[[#This Row],[Finish Size]]</f>
        <v>STAINED AVG</v>
      </c>
      <c r="F34" t="s">
        <v>73</v>
      </c>
      <c r="G34" s="1" t="str">
        <f>'Trim Take Off'!$C$16&amp;" "&amp;TRIM[[#This Row],[Type]]</f>
        <v>CRAFTSMAN INT JAMB</v>
      </c>
      <c r="H34" s="1" t="str">
        <f>IFERROR(TRIM[[#This Row],[Species]]&amp;" "&amp;TRIM[[#This Row],[Finish]]&amp;" "&amp;TRIM[[#This Row],[Type]]&amp;" "&amp;TRIM[[#This Row],[Width]]&amp;" x "&amp;TRIM[[#This Row],[Thickness]],"")</f>
        <v>0 STAINED INT JAMB 4.75 x 0.75</v>
      </c>
      <c r="I34" s="78">
        <f>IFERROR(INDEX(Table5[ACTUAL WIDTH],MATCH(TRIM[[#This Row],[NAME TYPE]],Table5[DESCRIPTION],0)),)</f>
        <v>4.75</v>
      </c>
      <c r="J34" s="78">
        <f>IFERROR(INDEX(Table5[ACTUAL THICKNESS],MATCH(TRIM[[#This Row],[NAME TYPE]],Table5[DESCRIPTION],0)),"")</f>
        <v>0.75</v>
      </c>
      <c r="K34" s="1">
        <f>INDEX(lumber[Rough],MATCH(TRIM[[#This Row],[Thickness]],lumber[Finish],1))</f>
        <v>1</v>
      </c>
      <c r="L34" s="29">
        <f>IFERROR(INDEX(Table5[LF],MATCH(TRIM[[#This Row],[NAME TYPE]],Table5[DESCRIPTION],0)),0)</f>
        <v>21</v>
      </c>
      <c r="M34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0.65664999999999984</v>
      </c>
      <c r="N34" s="1" t="e">
        <f>IF(TRIM[[#This Row],[Width]]&gt;6,INDEX(Table10[1 sorted],MATCH(TRIM[[#This Row],[Species]],Table10[Species],0)),INDEX(Table10[1],MATCH(TRIM[[#This Row],[Species]],Table10[Species],0)))</f>
        <v>#N/A</v>
      </c>
      <c r="O34" s="1">
        <f>TRIM[[#This Row],[Factor]]*TRIM[[#This Row],[Lin.Ft.]]</f>
        <v>13.789649999999996</v>
      </c>
      <c r="P34" s="49" t="e">
        <f>TRIM[[#This Row],[BF]]*TRIM[[#This Row],[Cost/BF]]</f>
        <v>#N/A</v>
      </c>
      <c r="Q34" s="49" t="e">
        <f>IF(TRIM[[#This Row],[BF]]="","",P34*I$3)</f>
        <v>#N/A</v>
      </c>
      <c r="R34" s="49">
        <f t="shared" si="1"/>
        <v>175</v>
      </c>
      <c r="S34" s="49">
        <f>TRIM[[#This Row],[Lin.Ft.]]*$I$5</f>
        <v>17.849999999999998</v>
      </c>
      <c r="T34" s="49">
        <f>IF('Trim Take Off'!$C$17="custom",(TRIM[[#This Row],[Width]]+0.25)*$I$6,0)</f>
        <v>500</v>
      </c>
      <c r="U34" s="49">
        <f>IFERROR(TRIM[[#This Row],[LF Add]]+TRIM[[#This Row],[Material Mark Up]]+TRIM[[#This Row],[Total Cost]],0)</f>
        <v>0</v>
      </c>
      <c r="V34" s="49">
        <f>IFERROR(TRIM[[#This Row],[Total Raw]]/TRIM[[#This Row],[Lin.Ft.]],"")</f>
        <v>0</v>
      </c>
      <c r="W34" s="49">
        <f>INDEX(finish[Rate],MATCH(TRIM[[#This Row],[FINISH HELP]],finish[Finish],0))</f>
        <v>2.25</v>
      </c>
      <c r="X34" s="49">
        <f>IFERROR((TRIM[[#This Row],[cost/L.F.]]*(1+$I$7)),"")</f>
        <v>0</v>
      </c>
      <c r="Y34" s="49">
        <f>IFERROR(TRIM[[#This Row],[Knife Grind]]+TRIM[[#This Row],[Set-up]],"")</f>
        <v>675</v>
      </c>
    </row>
    <row r="35" spans="1:25" x14ac:dyDescent="0.25">
      <c r="A35" s="91" t="str">
        <f>IF(TRIM[[#This Row],[Species]]=0,"",IF(TRIM[[#This Row],[Lin.Ft.]]&gt;1,(MAX($A$14:$A34)+1),""))</f>
        <v/>
      </c>
      <c r="B35" s="1">
        <f>'Trim Take Off'!$C$22</f>
        <v>0</v>
      </c>
      <c r="C35" s="1" t="str">
        <f>IF(TRIM[[#This Row],[Width]]&gt;5.25,"LARGE",IF(TRIM[[#This Row],[Width]]&gt;3,"AVG",IF(TRIM[[#This Row],[Width]]="","","SMALL")))</f>
        <v>LARGE</v>
      </c>
      <c r="D35" s="1" t="str">
        <f>IF(TRIM[[#This Row],[Species]]="","",IF(TRIM[[#This Row],[Species]]="POPLAR","PRIMED",IF(TRIM[[#This Row],[Species]]="MDF","PRIMED","STAINED")))</f>
        <v>STAINED</v>
      </c>
      <c r="E35" s="1" t="str">
        <f>TRIM[[#This Row],[Finish]]&amp;" "&amp;TRIM[[#This Row],[Finish Size]]</f>
        <v>STAINED LARGE</v>
      </c>
      <c r="F35" t="s">
        <v>74</v>
      </c>
      <c r="G35" s="1" t="str">
        <f>'Trim Take Off'!$C$16&amp;" "&amp;TRIM[[#This Row],[Type]]</f>
        <v>CRAFTSMAN WINDOW JAMB</v>
      </c>
      <c r="H35" s="1" t="str">
        <f>IFERROR(TRIM[[#This Row],[Species]]&amp;" "&amp;TRIM[[#This Row],[Finish]]&amp;" "&amp;TRIM[[#This Row],[Type]]&amp;" "&amp;TRIM[[#This Row],[Width]]&amp;" x "&amp;TRIM[[#This Row],[Thickness]],"")</f>
        <v>0 STAINED WINDOW JAMB 6 x 0.75</v>
      </c>
      <c r="I35" s="78">
        <f>IFERROR(INDEX(Table5[ACTUAL WIDTH],MATCH(TRIM[[#This Row],[NAME TYPE]],Table5[DESCRIPTION],0)),)</f>
        <v>6</v>
      </c>
      <c r="J35" s="78">
        <f>IFERROR(INDEX(Table5[ACTUAL THICKNESS],MATCH(TRIM[[#This Row],[NAME TYPE]],Table5[DESCRIPTION],0)),"")</f>
        <v>0.75</v>
      </c>
      <c r="K35" s="1">
        <f>INDEX(lumber[Rough],MATCH(TRIM[[#This Row],[Thickness]],lumber[Finish],1))</f>
        <v>1</v>
      </c>
      <c r="L35" s="29">
        <f>IFERROR(INDEX(Table5[LF],MATCH(TRIM[[#This Row],[NAME TYPE]],Table5[DESCRIPTION],0)),0)</f>
        <v>273</v>
      </c>
      <c r="M35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0.80499999999999994</v>
      </c>
      <c r="N35" s="1" t="e">
        <f>IF(TRIM[[#This Row],[Width]]&gt;6,INDEX(Table10[1 sorted],MATCH(TRIM[[#This Row],[Species]],Table10[Species],0)),INDEX(Table10[1],MATCH(TRIM[[#This Row],[Species]],Table10[Species],0)))</f>
        <v>#N/A</v>
      </c>
      <c r="O35" s="1">
        <f>TRIM[[#This Row],[Factor]]*TRIM[[#This Row],[Lin.Ft.]]</f>
        <v>219.76499999999999</v>
      </c>
      <c r="P35" s="49" t="e">
        <f>TRIM[[#This Row],[BF]]*TRIM[[#This Row],[Cost/BF]]</f>
        <v>#N/A</v>
      </c>
      <c r="Q35" s="49" t="e">
        <f>IF(TRIM[[#This Row],[BF]]="","",P35*I$3)</f>
        <v>#N/A</v>
      </c>
      <c r="R35" s="49">
        <f t="shared" si="1"/>
        <v>175</v>
      </c>
      <c r="S35" s="49">
        <f>TRIM[[#This Row],[Lin.Ft.]]*$I$5</f>
        <v>232.04999999999998</v>
      </c>
      <c r="T35" s="49">
        <f>IF('Trim Take Off'!$C$17="custom",(TRIM[[#This Row],[Width]]+0.25)*$I$6,0)</f>
        <v>625</v>
      </c>
      <c r="U35" s="49">
        <f>IFERROR(TRIM[[#This Row],[LF Add]]+TRIM[[#This Row],[Material Mark Up]]+TRIM[[#This Row],[Total Cost]],0)</f>
        <v>0</v>
      </c>
      <c r="V35" s="49">
        <f>IFERROR(TRIM[[#This Row],[Total Raw]]/TRIM[[#This Row],[Lin.Ft.]],"")</f>
        <v>0</v>
      </c>
      <c r="W35" s="49">
        <f>INDEX(finish[Rate],MATCH(TRIM[[#This Row],[FINISH HELP]],finish[Finish],0))</f>
        <v>2.5</v>
      </c>
      <c r="X35" s="49">
        <f>IFERROR((TRIM[[#This Row],[cost/L.F.]]*(1+$I$7)),"")</f>
        <v>0</v>
      </c>
      <c r="Y35" s="49">
        <f>IFERROR(TRIM[[#This Row],[Knife Grind]]+TRIM[[#This Row],[Set-up]],"")</f>
        <v>800</v>
      </c>
    </row>
    <row r="36" spans="1:25" x14ac:dyDescent="0.25">
      <c r="A36" s="91" t="str">
        <f>IF(TRIM[[#This Row],[Species]]=0,"",IF(TRIM[[#This Row],[Lin.Ft.]]&gt;1,(MAX($A$14:$A35)+1),""))</f>
        <v/>
      </c>
      <c r="B36" s="1">
        <f>'Trim Take Off'!$C$22</f>
        <v>0</v>
      </c>
      <c r="C36" s="1" t="str">
        <f>IF(TRIM[[#This Row],[Width]]&gt;5.25,"LARGE",IF(TRIM[[#This Row],[Width]]&gt;3,"AVG",IF(TRIM[[#This Row],[Width]]="","","SMALL")))</f>
        <v>LARGE</v>
      </c>
      <c r="D36" s="1" t="str">
        <f>IF(TRIM[[#This Row],[Species]]="","",IF(TRIM[[#This Row],[Species]]="POPLAR","PRIMED",IF(TRIM[[#This Row],[Species]]="MDF","PRIMED","STAINED")))</f>
        <v>STAINED</v>
      </c>
      <c r="E36" s="1" t="str">
        <f>TRIM[[#This Row],[Finish]]&amp;" "&amp;TRIM[[#This Row],[Finish Size]]</f>
        <v>STAINED LARGE</v>
      </c>
      <c r="F36" t="s">
        <v>75</v>
      </c>
      <c r="G36" s="1" t="str">
        <f>'Trim Take Off'!$C$16&amp;" "&amp;TRIM[[#This Row],[Type]]</f>
        <v>CRAFTSMAN SILL</v>
      </c>
      <c r="H36" s="1" t="str">
        <f>IFERROR(TRIM[[#This Row],[Species]]&amp;" "&amp;TRIM[[#This Row],[Finish]]&amp;" "&amp;TRIM[[#This Row],[Type]]&amp;" "&amp;TRIM[[#This Row],[Width]]&amp;" x "&amp;TRIM[[#This Row],[Thickness]],"")</f>
        <v>0 STAINED SILL 7.25 x 0.75</v>
      </c>
      <c r="I36" s="78">
        <f>IFERROR(INDEX(Table5[ACTUAL WIDTH],MATCH(TRIM[[#This Row],[NAME TYPE]],Table5[DESCRIPTION],0)),)</f>
        <v>7.25</v>
      </c>
      <c r="J36" s="78">
        <f>IFERROR(INDEX(Table5[ACTUAL THICKNESS],MATCH(TRIM[[#This Row],[NAME TYPE]],Table5[DESCRIPTION],0)),"")</f>
        <v>0.75</v>
      </c>
      <c r="K36" s="1">
        <f>INDEX(lumber[Rough],MATCH(TRIM[[#This Row],[Thickness]],lumber[Finish],1))</f>
        <v>1</v>
      </c>
      <c r="L36" s="29">
        <f>IFERROR(INDEX(Table5[LF],MATCH(TRIM[[#This Row],[NAME TYPE]],Table5[DESCRIPTION],0)),0)</f>
        <v>139.5</v>
      </c>
      <c r="M36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0.93035000000000001</v>
      </c>
      <c r="N36" s="1" t="e">
        <f>IF(TRIM[[#This Row],[Width]]&gt;6,INDEX(Table10[1 sorted],MATCH(TRIM[[#This Row],[Species]],Table10[Species],0)),INDEX(Table10[1],MATCH(TRIM[[#This Row],[Species]],Table10[Species],0)))</f>
        <v>#N/A</v>
      </c>
      <c r="O36" s="1">
        <f>TRIM[[#This Row],[Factor]]*TRIM[[#This Row],[Lin.Ft.]]</f>
        <v>129.78382500000001</v>
      </c>
      <c r="P36" s="49" t="e">
        <f>TRIM[[#This Row],[BF]]*TRIM[[#This Row],[Cost/BF]]</f>
        <v>#N/A</v>
      </c>
      <c r="Q36" s="49" t="e">
        <f>IF(TRIM[[#This Row],[BF]]="","",P36*I$3)</f>
        <v>#N/A</v>
      </c>
      <c r="R36" s="49">
        <f t="shared" si="1"/>
        <v>175</v>
      </c>
      <c r="S36" s="49">
        <f>TRIM[[#This Row],[Lin.Ft.]]*$I$5</f>
        <v>118.575</v>
      </c>
      <c r="T36" s="49">
        <f>IF('Trim Take Off'!$C$17="custom",(TRIM[[#This Row],[Width]]+0.25)*$I$6,0)</f>
        <v>750</v>
      </c>
      <c r="U36" s="49">
        <f>IFERROR(TRIM[[#This Row],[LF Add]]+TRIM[[#This Row],[Material Mark Up]]+TRIM[[#This Row],[Total Cost]],0)</f>
        <v>0</v>
      </c>
      <c r="V36" s="49">
        <f>IFERROR(TRIM[[#This Row],[Total Raw]]/TRIM[[#This Row],[Lin.Ft.]],"")</f>
        <v>0</v>
      </c>
      <c r="W36" s="49">
        <f>INDEX(finish[Rate],MATCH(TRIM[[#This Row],[FINISH HELP]],finish[Finish],0))</f>
        <v>2.5</v>
      </c>
      <c r="X36" s="49">
        <f>IFERROR((TRIM[[#This Row],[cost/L.F.]]*(1+$I$7)),"")</f>
        <v>0</v>
      </c>
      <c r="Y36" s="49">
        <f>IFERROR(TRIM[[#This Row],[Knife Grind]]+TRIM[[#This Row],[Set-up]],"")</f>
        <v>925</v>
      </c>
    </row>
    <row r="37" spans="1:25" x14ac:dyDescent="0.25">
      <c r="A37" s="91" t="str">
        <f>IF(TRIM[[#This Row],[Species]]=0,"",IF(TRIM[[#This Row],[Lin.Ft.]]&gt;1,(MAX($A$14:$A36)+1),""))</f>
        <v/>
      </c>
      <c r="B37" s="1">
        <f>'Trim Take Off'!$C$22</f>
        <v>0</v>
      </c>
      <c r="C37" s="1" t="str">
        <f>IF(TRIM[[#This Row],[Width]]&gt;5.25,"LARGE",IF(TRIM[[#This Row],[Width]]&gt;3,"AVG",IF(TRIM[[#This Row],[Width]]="","","SMALL")))</f>
        <v>AVG</v>
      </c>
      <c r="D37" s="1" t="str">
        <f>IF(TRIM[[#This Row],[Species]]="","",IF(TRIM[[#This Row],[Species]]="POPLAR","PRIMED",IF(TRIM[[#This Row],[Species]]="MDF","PRIMED","STAINED")))</f>
        <v>STAINED</v>
      </c>
      <c r="E37" s="1" t="str">
        <f>TRIM[[#This Row],[Finish]]&amp;" "&amp;TRIM[[#This Row],[Finish Size]]</f>
        <v>STAINED AVG</v>
      </c>
      <c r="F37" t="s">
        <v>76</v>
      </c>
      <c r="G37" s="1" t="str">
        <f>'Trim Take Off'!$C$16&amp;" "&amp;TRIM[[#This Row],[Type]]</f>
        <v>CRAFTSMAN APRON</v>
      </c>
      <c r="H37" s="1" t="str">
        <f>IFERROR(TRIM[[#This Row],[Species]]&amp;" "&amp;TRIM[[#This Row],[Finish]]&amp;" "&amp;TRIM[[#This Row],[Type]]&amp;" "&amp;TRIM[[#This Row],[Width]]&amp;" x "&amp;TRIM[[#This Row],[Thickness]],"")</f>
        <v>0 STAINED APRON 5.25 x 0.5</v>
      </c>
      <c r="I37" s="78">
        <f>IFERROR(INDEX(Table5[ACTUAL WIDTH],MATCH(TRIM[[#This Row],[NAME TYPE]],Table5[DESCRIPTION],0)),)</f>
        <v>5.25</v>
      </c>
      <c r="J37" s="78">
        <f>IFERROR(INDEX(Table5[ACTUAL THICKNESS],MATCH(TRIM[[#This Row],[NAME TYPE]],Table5[DESCRIPTION],0)),"")</f>
        <v>0.5</v>
      </c>
      <c r="K37" s="1">
        <f>INDEX(lumber[Rough],MATCH(TRIM[[#This Row],[Thickness]],lumber[Finish],1))</f>
        <v>1</v>
      </c>
      <c r="L37" s="29">
        <f>IFERROR(INDEX(Table5[LF],MATCH(TRIM[[#This Row],[NAME TYPE]],Table5[DESCRIPTION],0)),0)</f>
        <v>139.5</v>
      </c>
      <c r="M37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0.73139999999999994</v>
      </c>
      <c r="N37" s="1" t="e">
        <f>IF(TRIM[[#This Row],[Width]]&gt;6,INDEX(Table10[1 sorted],MATCH(TRIM[[#This Row],[Species]],Table10[Species],0)),INDEX(Table10[1],MATCH(TRIM[[#This Row],[Species]],Table10[Species],0)))</f>
        <v>#N/A</v>
      </c>
      <c r="O37" s="1">
        <f>TRIM[[#This Row],[Factor]]*TRIM[[#This Row],[Lin.Ft.]]</f>
        <v>102.0303</v>
      </c>
      <c r="P37" s="49" t="e">
        <f>TRIM[[#This Row],[BF]]*TRIM[[#This Row],[Cost/BF]]</f>
        <v>#N/A</v>
      </c>
      <c r="Q37" s="49" t="e">
        <f>IF(TRIM[[#This Row],[BF]]="","",P37*I$3)</f>
        <v>#N/A</v>
      </c>
      <c r="R37" s="49">
        <f t="shared" si="1"/>
        <v>175</v>
      </c>
      <c r="S37" s="49">
        <f>TRIM[[#This Row],[Lin.Ft.]]*$I$5</f>
        <v>118.575</v>
      </c>
      <c r="T37" s="49">
        <f>IF('Trim Take Off'!$C$17="custom",(TRIM[[#This Row],[Width]]+0.25)*$I$6,0)</f>
        <v>550</v>
      </c>
      <c r="U37" s="49">
        <f>IFERROR(TRIM[[#This Row],[LF Add]]+TRIM[[#This Row],[Material Mark Up]]+TRIM[[#This Row],[Total Cost]],0)</f>
        <v>0</v>
      </c>
      <c r="V37" s="49">
        <f>IFERROR(TRIM[[#This Row],[Total Raw]]/TRIM[[#This Row],[Lin.Ft.]],"")</f>
        <v>0</v>
      </c>
      <c r="W37" s="49">
        <f>INDEX(finish[Rate],MATCH(TRIM[[#This Row],[FINISH HELP]],finish[Finish],0))</f>
        <v>2.25</v>
      </c>
      <c r="X37" s="49">
        <f>IFERROR((TRIM[[#This Row],[cost/L.F.]]*(1+$I$7)),"")</f>
        <v>0</v>
      </c>
      <c r="Y37" s="49">
        <f>IFERROR(TRIM[[#This Row],[Knife Grind]]+TRIM[[#This Row],[Set-up]],"")</f>
        <v>725</v>
      </c>
    </row>
    <row r="38" spans="1:25" x14ac:dyDescent="0.25">
      <c r="A38" s="91" t="str">
        <f>IF(TRIM[[#This Row],[Species]]=0,"",IF(TRIM[[#This Row],[Lin.Ft.]]&gt;1,(MAX($A$14:$A37)+1),""))</f>
        <v/>
      </c>
      <c r="B38" s="1">
        <f>'Trim Take Off'!$C$22</f>
        <v>0</v>
      </c>
      <c r="C38" s="1" t="str">
        <f>IF(TRIM[[#This Row],[Width]]&gt;5.25,"LARGE",IF(TRIM[[#This Row],[Width]]&gt;3,"AVG",IF(TRIM[[#This Row],[Width]]="","","SMALL")))</f>
        <v>SMALL</v>
      </c>
      <c r="D38" s="1" t="str">
        <f>IF(TRIM[[#This Row],[Species]]="","",IF(TRIM[[#This Row],[Species]]="POPLAR","PRIMED",IF(TRIM[[#This Row],[Species]]="MDF","PRIMED","STAINED")))</f>
        <v>STAINED</v>
      </c>
      <c r="E38" s="1" t="str">
        <f>TRIM[[#This Row],[Finish]]&amp;" "&amp;TRIM[[#This Row],[Finish Size]]</f>
        <v>STAINED SMALL</v>
      </c>
      <c r="F38" t="s">
        <v>77</v>
      </c>
      <c r="G38" s="1" t="str">
        <f>'Trim Take Off'!$C$16&amp;" "&amp;TRIM[[#This Row],[Type]]</f>
        <v>CRAFTSMAN DENTIL</v>
      </c>
      <c r="H38" s="1" t="str">
        <f>IFERROR(TRIM[[#This Row],[Species]]&amp;" "&amp;TRIM[[#This Row],[Finish]]&amp;" "&amp;TRIM[[#This Row],[Type]]&amp;" "&amp;TRIM[[#This Row],[Width]]&amp;" x "&amp;TRIM[[#This Row],[Thickness]],"")</f>
        <v xml:space="preserve">0 STAINED DENTIL 0 x </v>
      </c>
      <c r="I38" s="78">
        <f>IFERROR(INDEX(Table5[ACTUAL WIDTH],MATCH(TRIM[[#This Row],[NAME TYPE]],Table5[DESCRIPTION],0)),)</f>
        <v>0</v>
      </c>
      <c r="J38" s="78" t="str">
        <f>IFERROR(INDEX(Table5[ACTUAL THICKNESS],MATCH(TRIM[[#This Row],[NAME TYPE]],Table5[DESCRIPTION],0)),"")</f>
        <v/>
      </c>
      <c r="K38" s="1" t="e">
        <f>INDEX(lumber[Rough],MATCH(TRIM[[#This Row],[Thickness]],lumber[Finish],1))</f>
        <v>#N/A</v>
      </c>
      <c r="L38" s="29">
        <f>IFERROR(INDEX(Table5[LF],MATCH(TRIM[[#This Row],[NAME TYPE]],Table5[DESCRIPTION],0)),0)</f>
        <v>0</v>
      </c>
      <c r="M38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</v>
      </c>
      <c r="N38" s="1" t="e">
        <f>IF(TRIM[[#This Row],[Width]]&gt;6,INDEX(Table10[1 sorted],MATCH(TRIM[[#This Row],[Species]],Table10[Species],0)),INDEX(Table10[1],MATCH(TRIM[[#This Row],[Species]],Table10[Species],0)))</f>
        <v>#N/A</v>
      </c>
      <c r="O38" s="1">
        <f>TRIM[[#This Row],[Factor]]*TRIM[[#This Row],[Lin.Ft.]]</f>
        <v>0</v>
      </c>
      <c r="P38" s="49" t="e">
        <f>TRIM[[#This Row],[BF]]*TRIM[[#This Row],[Cost/BF]]</f>
        <v>#N/A</v>
      </c>
      <c r="Q38" s="49" t="e">
        <f>IF(TRIM[[#This Row],[BF]]="","",P38*I$3)</f>
        <v>#N/A</v>
      </c>
      <c r="R38" s="49">
        <f t="shared" si="1"/>
        <v>175</v>
      </c>
      <c r="S38" s="49">
        <f>TRIM[[#This Row],[Lin.Ft.]]*$I$5</f>
        <v>0</v>
      </c>
      <c r="T38" s="49">
        <f>IF('Trim Take Off'!$C$17="custom",(TRIM[[#This Row],[Width]]+0.25)*$I$6,0)</f>
        <v>25</v>
      </c>
      <c r="U38" s="49">
        <f>IFERROR(TRIM[[#This Row],[LF Add]]+TRIM[[#This Row],[Material Mark Up]]+TRIM[[#This Row],[Total Cost]],0)</f>
        <v>0</v>
      </c>
      <c r="V38" s="49" t="str">
        <f>IFERROR(TRIM[[#This Row],[Total Raw]]/TRIM[[#This Row],[Lin.Ft.]],"")</f>
        <v/>
      </c>
      <c r="W38" s="49">
        <f>INDEX(finish[Rate],MATCH(TRIM[[#This Row],[FINISH HELP]],finish[Finish],0))</f>
        <v>2</v>
      </c>
      <c r="X38" s="49" t="str">
        <f>IFERROR((TRIM[[#This Row],[cost/L.F.]]*(1+$I$7)),"")</f>
        <v/>
      </c>
      <c r="Y38" s="49">
        <f>IFERROR(TRIM[[#This Row],[Knife Grind]]+TRIM[[#This Row],[Set-up]],"")</f>
        <v>200</v>
      </c>
    </row>
    <row r="39" spans="1:25" x14ac:dyDescent="0.25">
      <c r="A39" s="91" t="str">
        <f>IF(TRIM[[#This Row],[Species]]=0,"",IF(TRIM[[#This Row],[Lin.Ft.]]&gt;1,(MAX($A$14:$A38)+1),""))</f>
        <v/>
      </c>
      <c r="C39" s="1" t="str">
        <f>IF(TRIM[[#This Row],[Width]]&gt;5.25,"LARGE",IF(TRIM[[#This Row],[Width]]&gt;3,"AVG",IF(TRIM[[#This Row],[Width]]="","","SMALL")))</f>
        <v>SMALL</v>
      </c>
      <c r="D39" s="1" t="str">
        <f>IF(TRIM[[#This Row],[Species]]="","",IF(TRIM[[#This Row],[Species]]="POPLAR","PRIMED",IF(TRIM[[#This Row],[Species]]="MDF","PRIMED","STAINED")))</f>
        <v/>
      </c>
      <c r="E39" s="1" t="str">
        <f>TRIM[[#This Row],[Finish]]&amp;" "&amp;TRIM[[#This Row],[Finish Size]]</f>
        <v xml:space="preserve"> SMALL</v>
      </c>
      <c r="G39" s="1" t="str">
        <f>'Trim Take Off'!$C$16&amp;" "&amp;TRIM[[#This Row],[Type]]</f>
        <v xml:space="preserve">CRAFTSMAN </v>
      </c>
      <c r="H39" s="1" t="str">
        <f>IFERROR(TRIM[[#This Row],[Species]]&amp;" "&amp;TRIM[[#This Row],[Finish]]&amp;" "&amp;TRIM[[#This Row],[Type]]&amp;" "&amp;TRIM[[#This Row],[Width]]&amp;" x "&amp;TRIM[[#This Row],[Thickness]],"")</f>
        <v xml:space="preserve">   0 x </v>
      </c>
      <c r="I39" s="78">
        <f>IFERROR(INDEX(Table5[ACTUAL WIDTH],MATCH(TRIM[[#This Row],[NAME TYPE]],Table5[DESCRIPTION],0)),)</f>
        <v>0</v>
      </c>
      <c r="J39" s="78" t="str">
        <f>IFERROR(INDEX(Table5[ACTUAL THICKNESS],MATCH(TRIM[[#This Row],[NAME TYPE]],Table5[DESCRIPTION],0)),"")</f>
        <v/>
      </c>
      <c r="K39" s="1" t="e">
        <f>INDEX(lumber[Rough],MATCH(TRIM[[#This Row],[Thickness]],lumber[Finish],1))</f>
        <v>#N/A</v>
      </c>
      <c r="L39" s="29">
        <f>IFERROR(INDEX(Table5[LF],MATCH(TRIM[[#This Row],[NAME TYPE]],Table5[DESCRIPTION],0)),0)</f>
        <v>0</v>
      </c>
      <c r="M39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</v>
      </c>
      <c r="N39" s="1" t="e">
        <f>IF(TRIM[[#This Row],[Width]]&gt;6,INDEX(Table10[1 sorted],MATCH(TRIM[[#This Row],[Species]],Table10[Species],0)),INDEX(Table10[1],MATCH(TRIM[[#This Row],[Species]],Table10[Species],0)))</f>
        <v>#N/A</v>
      </c>
      <c r="O39" s="1">
        <f>TRIM[[#This Row],[Factor]]*TRIM[[#This Row],[Lin.Ft.]]</f>
        <v>0</v>
      </c>
      <c r="P39" s="49" t="e">
        <f>TRIM[[#This Row],[BF]]*TRIM[[#This Row],[Cost/BF]]</f>
        <v>#N/A</v>
      </c>
      <c r="Q39" s="49" t="e">
        <f>IF(TRIM[[#This Row],[BF]]="","",P39*I$3)</f>
        <v>#N/A</v>
      </c>
      <c r="R39" s="49">
        <f t="shared" si="1"/>
        <v>175</v>
      </c>
      <c r="S39" s="49">
        <f>TRIM[[#This Row],[Lin.Ft.]]*$I$5</f>
        <v>0</v>
      </c>
      <c r="T39" s="49">
        <f>IF('Trim Take Off'!$C$17="custom",(TRIM[[#This Row],[Width]]+0.25)*$I$6,0)</f>
        <v>25</v>
      </c>
      <c r="U39" s="49">
        <f>IFERROR(TRIM[[#This Row],[LF Add]]+TRIM[[#This Row],[Material Mark Up]]+TRIM[[#This Row],[Total Cost]],0)</f>
        <v>0</v>
      </c>
      <c r="V39" s="49" t="str">
        <f>IFERROR(TRIM[[#This Row],[Total Raw]]/TRIM[[#This Row],[Lin.Ft.]],"")</f>
        <v/>
      </c>
      <c r="W39" s="49" t="e">
        <f>INDEX(finish[Rate],MATCH(TRIM[[#This Row],[FINISH HELP]],finish[Finish],0))</f>
        <v>#N/A</v>
      </c>
      <c r="X39" s="49" t="str">
        <f>IFERROR((TRIM[[#This Row],[cost/L.F.]]*(1+$I$7)),"")</f>
        <v/>
      </c>
      <c r="Y39" s="49">
        <f>IFERROR(TRIM[[#This Row],[Knife Grind]]+TRIM[[#This Row],[Set-up]],"")</f>
        <v>200</v>
      </c>
    </row>
    <row r="40" spans="1:25" x14ac:dyDescent="0.25">
      <c r="A40" s="91" t="str">
        <f>IF(TRIM[[#This Row],[Species]]=0,"",IF(TRIM[[#This Row],[Lin.Ft.]]&gt;1,(MAX($A$14:$A39)+1),""))</f>
        <v/>
      </c>
      <c r="C40" s="1" t="str">
        <f>IF(TRIM[[#This Row],[Width]]&gt;5.25,"LARGE",IF(TRIM[[#This Row],[Width]]&gt;3,"AVG",IF(TRIM[[#This Row],[Width]]="","","SMALL")))</f>
        <v>SMALL</v>
      </c>
      <c r="D40" s="1" t="str">
        <f>IF(TRIM[[#This Row],[Species]]="","",IF(TRIM[[#This Row],[Species]]="POPLAR","PRIMED",IF(TRIM[[#This Row],[Species]]="MDF","PRIMED","STAINED")))</f>
        <v/>
      </c>
      <c r="E40" s="1" t="str">
        <f>TRIM[[#This Row],[Finish]]&amp;" "&amp;TRIM[[#This Row],[Finish Size]]</f>
        <v xml:space="preserve"> SMALL</v>
      </c>
      <c r="G40" s="1" t="str">
        <f>'Trim Take Off'!$C$16&amp;" "&amp;TRIM[[#This Row],[Type]]</f>
        <v xml:space="preserve">CRAFTSMAN </v>
      </c>
      <c r="H40" s="1" t="str">
        <f>IFERROR(TRIM[[#This Row],[Species]]&amp;" "&amp;TRIM[[#This Row],[Finish]]&amp;" "&amp;TRIM[[#This Row],[Type]]&amp;" "&amp;TRIM[[#This Row],[Width]]&amp;" x "&amp;TRIM[[#This Row],[Thickness]],"")</f>
        <v xml:space="preserve">   0 x </v>
      </c>
      <c r="I40" s="78">
        <f>IFERROR(INDEX(Table5[ACTUAL WIDTH],MATCH(TRIM[[#This Row],[NAME TYPE]],Table5[DESCRIPTION],0)),)</f>
        <v>0</v>
      </c>
      <c r="J40" s="78" t="str">
        <f>IFERROR(INDEX(Table5[ACTUAL THICKNESS],MATCH(TRIM[[#This Row],[NAME TYPE]],Table5[DESCRIPTION],0)),"")</f>
        <v/>
      </c>
      <c r="K40" s="1" t="e">
        <f>INDEX(lumber[Rough],MATCH(TRIM[[#This Row],[Thickness]],lumber[Finish],1))</f>
        <v>#N/A</v>
      </c>
      <c r="L40" s="29">
        <f>IFERROR(INDEX(Table5[LF],MATCH(TRIM[[#This Row],[NAME TYPE]],Table5[DESCRIPTION],0)),0)</f>
        <v>0</v>
      </c>
      <c r="M40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</v>
      </c>
      <c r="N40" s="1" t="e">
        <f>IF(TRIM[[#This Row],[Width]]&gt;6,INDEX(Table10[1 sorted],MATCH(TRIM[[#This Row],[Species]],Table10[Species],0)),INDEX(Table10[1],MATCH(TRIM[[#This Row],[Species]],Table10[Species],0)))</f>
        <v>#N/A</v>
      </c>
      <c r="O40" s="1">
        <f>TRIM[[#This Row],[Factor]]*TRIM[[#This Row],[Lin.Ft.]]</f>
        <v>0</v>
      </c>
      <c r="P40" s="49" t="e">
        <f>TRIM[[#This Row],[BF]]*TRIM[[#This Row],[Cost/BF]]</f>
        <v>#N/A</v>
      </c>
      <c r="Q40" s="49" t="e">
        <f>IF(TRIM[[#This Row],[BF]]="","",P40*I$3)</f>
        <v>#N/A</v>
      </c>
      <c r="R40" s="49">
        <f t="shared" si="1"/>
        <v>175</v>
      </c>
      <c r="S40" s="49">
        <f>TRIM[[#This Row],[Lin.Ft.]]*$I$5</f>
        <v>0</v>
      </c>
      <c r="T40" s="49">
        <f>IF('Trim Take Off'!$C$17="custom",(TRIM[[#This Row],[Width]]+0.25)*$I$6,0)</f>
        <v>25</v>
      </c>
      <c r="U40" s="49">
        <f>IFERROR(TRIM[[#This Row],[LF Add]]+TRIM[[#This Row],[Material Mark Up]]+TRIM[[#This Row],[Total Cost]],0)</f>
        <v>0</v>
      </c>
      <c r="V40" s="49" t="str">
        <f>IFERROR(TRIM[[#This Row],[Total Raw]]/TRIM[[#This Row],[Lin.Ft.]],"")</f>
        <v/>
      </c>
      <c r="W40" s="49" t="e">
        <f>INDEX(finish[Rate],MATCH(TRIM[[#This Row],[FINISH HELP]],finish[Finish],0))</f>
        <v>#N/A</v>
      </c>
      <c r="X40" s="49" t="str">
        <f>IFERROR((TRIM[[#This Row],[cost/L.F.]]*(1+$I$7)),"")</f>
        <v/>
      </c>
      <c r="Y40" s="49">
        <f>IFERROR(TRIM[[#This Row],[Knife Grind]]+TRIM[[#This Row],[Set-up]],"")</f>
        <v>200</v>
      </c>
    </row>
    <row r="41" spans="1:25" x14ac:dyDescent="0.25">
      <c r="A41" s="91" t="str">
        <f>IF(TRIM[[#This Row],[Species]]=0,"",IF(TRIM[[#This Row],[Lin.Ft.]]&gt;1,(MAX($A$14:$A40)+1),""))</f>
        <v/>
      </c>
      <c r="C41" s="1" t="str">
        <f>IF(TRIM[[#This Row],[Width]]&gt;5.25,"LARGE",IF(TRIM[[#This Row],[Width]]&gt;3,"AVG",IF(TRIM[[#This Row],[Width]]="","","SMALL")))</f>
        <v>SMALL</v>
      </c>
      <c r="D41" s="1" t="str">
        <f>IF(TRIM[[#This Row],[Species]]="","",IF(TRIM[[#This Row],[Species]]="POPLAR","PRIMED",IF(TRIM[[#This Row],[Species]]="MDF","PRIMED","STAINED")))</f>
        <v/>
      </c>
      <c r="E41" s="1" t="str">
        <f>TRIM[[#This Row],[Finish]]&amp;" "&amp;TRIM[[#This Row],[Finish Size]]</f>
        <v xml:space="preserve"> SMALL</v>
      </c>
      <c r="G41" s="1" t="str">
        <f>'Trim Take Off'!$C$16&amp;" "&amp;TRIM[[#This Row],[Type]]</f>
        <v xml:space="preserve">CRAFTSMAN </v>
      </c>
      <c r="H41" s="1" t="str">
        <f>IFERROR(TRIM[[#This Row],[Species]]&amp;" "&amp;TRIM[[#This Row],[Finish]]&amp;" "&amp;TRIM[[#This Row],[Type]]&amp;" "&amp;TRIM[[#This Row],[Width]]&amp;" x "&amp;TRIM[[#This Row],[Thickness]],"")</f>
        <v xml:space="preserve">   0 x </v>
      </c>
      <c r="I41" s="78">
        <f>IFERROR(INDEX(Table5[ACTUAL WIDTH],MATCH(TRIM[[#This Row],[NAME TYPE]],Table5[DESCRIPTION],0)),)</f>
        <v>0</v>
      </c>
      <c r="J41" s="78" t="str">
        <f>IFERROR(INDEX(Table5[ACTUAL THICKNESS],MATCH(TRIM[[#This Row],[NAME TYPE]],Table5[DESCRIPTION],0)),"")</f>
        <v/>
      </c>
      <c r="K41" s="1" t="e">
        <f>INDEX(lumber[Rough],MATCH(TRIM[[#This Row],[Thickness]],lumber[Finish],1))</f>
        <v>#N/A</v>
      </c>
      <c r="L41" s="29">
        <f>IFERROR(INDEX(Table5[LF],MATCH(TRIM[[#This Row],[NAME TYPE]],Table5[DESCRIPTION],0)),0)</f>
        <v>0</v>
      </c>
      <c r="M41" s="1">
        <f>IFERROR((IF(TRIM[[#This Row],[Rough Thick]]=1,INDEX(Table1[4/4],MATCH(TRIM[[#This Row],[Width]],Table1[RIP SIZE],0)),IF(TRIM[[#This Row],[Rough Thick]]=1.25,INDEX(Table1[5/4],MATCH(TRIM[[#This Row],[Width]],Table1[RIP SIZE],0)),IF(TRIM[[#This Row],[Rough Thick]]=1.5,INDEX(Table1[6/4],MATCH(TRIM[[#This Row],[Width]],Table1[RIP SIZE],0)),IF(TRIM[[#This Row],[Rough Thick]]=2,INDEX(Table1[8/4],MATCH(TRIM[[#This Row],[Width]],Table1[RIP SIZE],0)),"")))))*(1+$I$2),0)</f>
        <v>0</v>
      </c>
      <c r="N41" s="1" t="e">
        <f>IF(TRIM[[#This Row],[Width]]&gt;6,INDEX(Table10[1 sorted],MATCH(TRIM[[#This Row],[Species]],Table10[Species],0)),INDEX(Table10[1],MATCH(TRIM[[#This Row],[Species]],Table10[Species],0)))</f>
        <v>#N/A</v>
      </c>
      <c r="O41" s="1">
        <f>TRIM[[#This Row],[Factor]]*TRIM[[#This Row],[Lin.Ft.]]</f>
        <v>0</v>
      </c>
      <c r="P41" s="49" t="e">
        <f>TRIM[[#This Row],[BF]]*TRIM[[#This Row],[Cost/BF]]</f>
        <v>#N/A</v>
      </c>
      <c r="Q41" s="49" t="e">
        <f>IF(TRIM[[#This Row],[BF]]="","",P41*I$3)</f>
        <v>#N/A</v>
      </c>
      <c r="R41" s="49">
        <f t="shared" si="1"/>
        <v>175</v>
      </c>
      <c r="S41" s="49">
        <f>TRIM[[#This Row],[Lin.Ft.]]*$I$5</f>
        <v>0</v>
      </c>
      <c r="T41" s="49">
        <f>IF('Trim Take Off'!$C$17="custom",(TRIM[[#This Row],[Width]]+0.25)*$I$6,0)</f>
        <v>25</v>
      </c>
      <c r="U41" s="49">
        <f>IFERROR(TRIM[[#This Row],[LF Add]]+TRIM[[#This Row],[Material Mark Up]]+TRIM[[#This Row],[Total Cost]],0)</f>
        <v>0</v>
      </c>
      <c r="V41" s="49" t="str">
        <f>IFERROR(TRIM[[#This Row],[Total Raw]]/TRIM[[#This Row],[Lin.Ft.]],"")</f>
        <v/>
      </c>
      <c r="W41" s="49" t="e">
        <f>INDEX(finish[Rate],MATCH(TRIM[[#This Row],[FINISH HELP]],finish[Finish],0))</f>
        <v>#N/A</v>
      </c>
      <c r="X41" s="49" t="str">
        <f>IFERROR((TRIM[[#This Row],[cost/L.F.]]*(1+$I$7)),"")</f>
        <v/>
      </c>
      <c r="Y41" s="49">
        <f>IFERROR(TRIM[[#This Row],[Knife Grind]]+TRIM[[#This Row],[Set-up]],"")</f>
        <v>200</v>
      </c>
    </row>
  </sheetData>
  <mergeCells count="7">
    <mergeCell ref="J8:V8"/>
    <mergeCell ref="J2:V2"/>
    <mergeCell ref="J3:V3"/>
    <mergeCell ref="J4:V4"/>
    <mergeCell ref="J5:V5"/>
    <mergeCell ref="J6:V6"/>
    <mergeCell ref="J7:V7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BEDD-E634-4B3A-858A-A6BFC65EE53E}">
  <dimension ref="E1:AR182"/>
  <sheetViews>
    <sheetView topLeftCell="A116" workbookViewId="0">
      <selection activeCell="G136" sqref="G136"/>
    </sheetView>
  </sheetViews>
  <sheetFormatPr defaultRowHeight="15" x14ac:dyDescent="0.25"/>
  <sheetData>
    <row r="1" spans="5:44" ht="15.75" thickBot="1" x14ac:dyDescent="0.3">
      <c r="J1" s="148" t="s">
        <v>2</v>
      </c>
      <c r="K1" s="149"/>
      <c r="L1" s="149"/>
      <c r="M1" s="149"/>
      <c r="N1" s="150"/>
    </row>
    <row r="2" spans="5:44" ht="15.75" thickBot="1" x14ac:dyDescent="0.3">
      <c r="J2" s="6" t="s">
        <v>3</v>
      </c>
      <c r="K2" s="7" t="s">
        <v>4</v>
      </c>
      <c r="L2" s="7" t="s">
        <v>5</v>
      </c>
      <c r="M2" s="7" t="s">
        <v>6</v>
      </c>
      <c r="N2" s="8" t="s">
        <v>7</v>
      </c>
    </row>
    <row r="3" spans="5:44" ht="15.75" thickBot="1" x14ac:dyDescent="0.3">
      <c r="E3" s="44">
        <v>0.75</v>
      </c>
      <c r="F3" s="38">
        <v>1</v>
      </c>
      <c r="G3" t="str">
        <f>CONCATENATE(E3,",",F3)</f>
        <v>0.75,1</v>
      </c>
      <c r="H3" s="17">
        <f>0.111*1.15</f>
        <v>0.12764999999999999</v>
      </c>
      <c r="J3" s="21">
        <v>0.75</v>
      </c>
      <c r="K3" s="17">
        <f>0.111*1.15</f>
        <v>0.12764999999999999</v>
      </c>
      <c r="L3" s="11">
        <f>0.138*1.15</f>
        <v>0.15870000000000001</v>
      </c>
      <c r="M3" s="11">
        <f>0.166*1.15</f>
        <v>0.19089999999999999</v>
      </c>
      <c r="N3" s="12">
        <f>0.222*1.15</f>
        <v>0.25529999999999997</v>
      </c>
      <c r="Q3" s="17">
        <f>0.111*1.15</f>
        <v>0.12764999999999999</v>
      </c>
      <c r="R3" s="18">
        <f>0.148*1.15</f>
        <v>0.17019999999999999</v>
      </c>
      <c r="S3" s="19">
        <f>0.166/1.15</f>
        <v>0.14434782608695654</v>
      </c>
      <c r="T3" s="18">
        <f>0.185*1.15</f>
        <v>0.21274999999999999</v>
      </c>
      <c r="U3" s="19">
        <f>0.203*1.15</f>
        <v>0.23344999999999999</v>
      </c>
      <c r="V3" s="18">
        <f>0.222*1.15</f>
        <v>0.25529999999999997</v>
      </c>
      <c r="W3" s="19">
        <f>0.24*1.15</f>
        <v>0.27599999999999997</v>
      </c>
      <c r="X3" s="18">
        <f>0.258*1.15</f>
        <v>0.29669999999999996</v>
      </c>
      <c r="Y3" s="19">
        <f>0.277*1.15</f>
        <v>0.31855</v>
      </c>
      <c r="Z3" s="18">
        <f>0.28*1.15</f>
        <v>0.32200000000000001</v>
      </c>
      <c r="AA3" s="19">
        <f>0.285*1.15</f>
        <v>0.32774999999999993</v>
      </c>
      <c r="AB3" s="18">
        <f>0.301*1.15</f>
        <v>0.34614999999999996</v>
      </c>
      <c r="AC3" s="19">
        <f>0.318*1.15</f>
        <v>0.36569999999999997</v>
      </c>
      <c r="AD3" s="18">
        <f>0.335*1.15</f>
        <v>0.38524999999999998</v>
      </c>
      <c r="AE3" s="19">
        <f>0.351*1.15</f>
        <v>0.40364999999999995</v>
      </c>
      <c r="AF3" s="18">
        <f>0.368*1.15</f>
        <v>0.42319999999999997</v>
      </c>
      <c r="AG3" s="19">
        <f>0.385*1.15</f>
        <v>0.44274999999999998</v>
      </c>
      <c r="AH3" s="18">
        <f>0.402*1.15</f>
        <v>0.46229999999999999</v>
      </c>
      <c r="AI3" s="19">
        <f>0.418*1.15</f>
        <v>0.48069999999999996</v>
      </c>
      <c r="AJ3" s="18">
        <f>0.435*1.15</f>
        <v>0.50024999999999997</v>
      </c>
      <c r="AK3" s="19">
        <f>0.452*1.15</f>
        <v>0.51979999999999993</v>
      </c>
      <c r="AL3" s="18">
        <f>0.469*1.15</f>
        <v>0.53934999999999989</v>
      </c>
      <c r="AM3" s="19">
        <f>0.485*1.15</f>
        <v>0.55774999999999997</v>
      </c>
      <c r="AN3" s="18">
        <f>0.502*1.15</f>
        <v>0.57729999999999992</v>
      </c>
      <c r="AO3" s="19">
        <f>0.519*1.15</f>
        <v>0.59684999999999999</v>
      </c>
      <c r="AP3" s="18">
        <f>0.529*1.15</f>
        <v>0.60834999999999995</v>
      </c>
      <c r="AQ3" s="19">
        <f>0.55*1.15</f>
        <v>0.63249999999999995</v>
      </c>
      <c r="AR3" s="20">
        <f>0.571*1.15</f>
        <v>0.65664999999999984</v>
      </c>
    </row>
    <row r="4" spans="5:44" ht="15.75" thickBot="1" x14ac:dyDescent="0.3">
      <c r="E4" s="44">
        <v>0.75</v>
      </c>
      <c r="F4" s="38">
        <v>1.25</v>
      </c>
      <c r="G4" t="str">
        <f t="shared" ref="G4:G67" si="0">CONCATENATE(E4,",",F4)</f>
        <v>0.75,1.25</v>
      </c>
      <c r="H4" s="11">
        <f>0.138*1.15</f>
        <v>0.15870000000000001</v>
      </c>
      <c r="J4" s="22">
        <v>1</v>
      </c>
      <c r="K4" s="18">
        <f>0.148*1.15</f>
        <v>0.17019999999999999</v>
      </c>
      <c r="L4" s="9">
        <f>0.185*1.15</f>
        <v>0.21274999999999999</v>
      </c>
      <c r="M4" s="9">
        <f>0.222*1.15</f>
        <v>0.25529999999999997</v>
      </c>
      <c r="N4" s="13">
        <f>0.295*1.15</f>
        <v>0.33924999999999994</v>
      </c>
      <c r="Q4" s="11">
        <f>0.138*1.15</f>
        <v>0.15870000000000001</v>
      </c>
      <c r="R4" s="9">
        <f>0.185*1.15</f>
        <v>0.21274999999999999</v>
      </c>
      <c r="S4" s="10">
        <f>0.208*1.15</f>
        <v>0.23919999999999997</v>
      </c>
      <c r="T4" s="9">
        <f>0.231*1.15</f>
        <v>0.26565</v>
      </c>
      <c r="U4" s="10">
        <f>0.254*1.15</f>
        <v>0.29209999999999997</v>
      </c>
      <c r="V4" s="9">
        <f>0.277*1.15</f>
        <v>0.31855</v>
      </c>
      <c r="W4" s="10">
        <f>0.3*1.15</f>
        <v>0.34499999999999997</v>
      </c>
      <c r="X4" s="9">
        <f>0.323*1.15</f>
        <v>0.37145</v>
      </c>
      <c r="Y4" s="10">
        <f>0.346*1.15</f>
        <v>0.39789999999999992</v>
      </c>
      <c r="Z4" s="9">
        <f>0.351*1.15</f>
        <v>0.40364999999999995</v>
      </c>
      <c r="AA4" s="10">
        <f>0.356*1.15</f>
        <v>0.40939999999999993</v>
      </c>
      <c r="AB4" s="9">
        <f>0.377*1.15</f>
        <v>0.43354999999999999</v>
      </c>
      <c r="AC4" s="10">
        <f>0.397*1.15</f>
        <v>0.45655000000000001</v>
      </c>
      <c r="AD4" s="9">
        <f>0.418*1.15</f>
        <v>0.48069999999999996</v>
      </c>
      <c r="AE4" s="10">
        <f>0.439*1.15</f>
        <v>0.50484999999999991</v>
      </c>
      <c r="AF4" s="9">
        <f>0.46*1.15</f>
        <v>0.52900000000000003</v>
      </c>
      <c r="AG4" s="10">
        <f>0.481*1.15</f>
        <v>0.55314999999999992</v>
      </c>
      <c r="AH4" s="9">
        <f>0.502*1.15</f>
        <v>0.57729999999999992</v>
      </c>
      <c r="AI4" s="10">
        <f>0.523*1.15</f>
        <v>0.60144999999999993</v>
      </c>
      <c r="AJ4" s="9">
        <f>0.544*1.15</f>
        <v>0.62560000000000004</v>
      </c>
      <c r="AK4" s="10">
        <f>0.565*1.15</f>
        <v>0.64974999999999994</v>
      </c>
      <c r="AL4" s="9">
        <f>0.586*1.15</f>
        <v>0.67389999999999994</v>
      </c>
      <c r="AM4" s="10">
        <f>0.607*1.15</f>
        <v>0.69804999999999995</v>
      </c>
      <c r="AN4" s="9">
        <f>0.628*1.15</f>
        <v>0.72219999999999995</v>
      </c>
      <c r="AO4" s="10">
        <f>0.649*1.15</f>
        <v>0.74634999999999996</v>
      </c>
      <c r="AP4" s="9">
        <f>0.661*1.15</f>
        <v>0.76014999999999999</v>
      </c>
      <c r="AQ4" s="10">
        <f>0.687*1.15</f>
        <v>0.79005000000000003</v>
      </c>
      <c r="AR4" s="15">
        <f>0.714*1.15</f>
        <v>0.82109999999999994</v>
      </c>
    </row>
    <row r="5" spans="5:44" ht="15.75" thickBot="1" x14ac:dyDescent="0.3">
      <c r="E5" s="44">
        <v>0.75</v>
      </c>
      <c r="F5" s="38">
        <v>1.5</v>
      </c>
      <c r="G5" t="str">
        <f t="shared" si="0"/>
        <v>0.75,1.5</v>
      </c>
      <c r="H5" s="11">
        <f>0.166*1.15</f>
        <v>0.19089999999999999</v>
      </c>
      <c r="J5" s="23">
        <v>1.125</v>
      </c>
      <c r="K5" s="19">
        <f>0.166/1.15</f>
        <v>0.14434782608695654</v>
      </c>
      <c r="L5" s="10">
        <f>0.208*1.15</f>
        <v>0.23919999999999997</v>
      </c>
      <c r="M5" s="10">
        <f>0.249*1.15</f>
        <v>0.28634999999999999</v>
      </c>
      <c r="N5" s="14">
        <f>0.332*1.15</f>
        <v>0.38179999999999997</v>
      </c>
      <c r="Q5" s="11">
        <f>0.166*1.15</f>
        <v>0.19089999999999999</v>
      </c>
      <c r="R5" s="9">
        <f>0.222*1.15</f>
        <v>0.25529999999999997</v>
      </c>
      <c r="S5" s="10">
        <f>0.249*1.15</f>
        <v>0.28634999999999999</v>
      </c>
      <c r="T5" s="9">
        <f>0.277*1.15</f>
        <v>0.31855</v>
      </c>
      <c r="U5" s="10">
        <f>0.305*1.15</f>
        <v>0.35074999999999995</v>
      </c>
      <c r="V5" s="9">
        <f>0.332*1.15</f>
        <v>0.38179999999999997</v>
      </c>
      <c r="W5" s="10">
        <f>0.36*1.15</f>
        <v>0.41399999999999998</v>
      </c>
      <c r="X5" s="9">
        <f>0.388*1.15</f>
        <v>0.44619999999999999</v>
      </c>
      <c r="Y5" s="10">
        <f>0.415*1.15</f>
        <v>0.47724999999999995</v>
      </c>
      <c r="Z5" s="9">
        <f>0.421*1.15</f>
        <v>0.48414999999999997</v>
      </c>
      <c r="AA5" s="10">
        <f>0.427*1.15</f>
        <v>0.49104999999999993</v>
      </c>
      <c r="AB5" s="9">
        <f>0.452*1.15</f>
        <v>0.51979999999999993</v>
      </c>
      <c r="AC5" s="10">
        <f>0.477*1.15</f>
        <v>0.54854999999999998</v>
      </c>
      <c r="AD5" s="9">
        <f>0.502*1.15</f>
        <v>0.57729999999999992</v>
      </c>
      <c r="AE5" s="10">
        <f>0.527*1.15</f>
        <v>0.60604999999999998</v>
      </c>
      <c r="AF5" s="9">
        <f>0.552*1.15</f>
        <v>0.63480000000000003</v>
      </c>
      <c r="AG5" s="10">
        <f>0.577*1.15</f>
        <v>0.66354999999999986</v>
      </c>
      <c r="AH5" s="9">
        <f>0.603*1.15</f>
        <v>0.6934499999999999</v>
      </c>
      <c r="AI5" s="10">
        <f>0.628*1.15</f>
        <v>0.72219999999999995</v>
      </c>
      <c r="AJ5" s="9">
        <f>0.653*1.15</f>
        <v>0.75095000000000001</v>
      </c>
      <c r="AK5" s="10">
        <f>0.678*1.15</f>
        <v>0.77969999999999995</v>
      </c>
      <c r="AL5" s="9">
        <f>0.703*1.15</f>
        <v>0.80844999999999989</v>
      </c>
      <c r="AM5" s="10">
        <f>0.728*1.15</f>
        <v>0.83719999999999994</v>
      </c>
      <c r="AN5" s="9">
        <f>0.753*1.15</f>
        <v>0.86594999999999989</v>
      </c>
      <c r="AO5" s="10">
        <f>0.778*1.15</f>
        <v>0.89469999999999994</v>
      </c>
      <c r="AP5" s="9">
        <f>0.793*1.15</f>
        <v>0.91194999999999993</v>
      </c>
      <c r="AQ5" s="10">
        <f>0.825*1.15</f>
        <v>0.94874999999999987</v>
      </c>
      <c r="AR5" s="15">
        <f>0.857*1.15</f>
        <v>0.98554999999999993</v>
      </c>
    </row>
    <row r="6" spans="5:44" ht="15.75" thickBot="1" x14ac:dyDescent="0.3">
      <c r="E6" s="44">
        <v>0.75</v>
      </c>
      <c r="F6" s="39">
        <v>2</v>
      </c>
      <c r="G6" t="str">
        <f t="shared" si="0"/>
        <v>0.75,2</v>
      </c>
      <c r="H6" s="12">
        <f>0.222*1.15</f>
        <v>0.25529999999999997</v>
      </c>
      <c r="J6" s="22">
        <v>1.25</v>
      </c>
      <c r="K6" s="18">
        <f>0.185*1.15</f>
        <v>0.21274999999999999</v>
      </c>
      <c r="L6" s="9">
        <f>0.231*1.15</f>
        <v>0.26565</v>
      </c>
      <c r="M6" s="9">
        <f>0.277*1.15</f>
        <v>0.31855</v>
      </c>
      <c r="N6" s="13">
        <f>0.369*1.15</f>
        <v>0.42434999999999995</v>
      </c>
      <c r="Q6" s="12">
        <f>0.222*1.15</f>
        <v>0.25529999999999997</v>
      </c>
      <c r="R6" s="13">
        <f>0.295*1.15</f>
        <v>0.33924999999999994</v>
      </c>
      <c r="S6" s="14">
        <f>0.332*1.15</f>
        <v>0.38179999999999997</v>
      </c>
      <c r="T6" s="13">
        <f>0.369*1.15</f>
        <v>0.42434999999999995</v>
      </c>
      <c r="U6" s="14">
        <f>0.406*1.15</f>
        <v>0.46689999999999998</v>
      </c>
      <c r="V6" s="13">
        <f>0.443*1.15</f>
        <v>0.50944999999999996</v>
      </c>
      <c r="W6" s="14">
        <f>0.48*1.15</f>
        <v>0.55199999999999994</v>
      </c>
      <c r="X6" s="13">
        <f>0.517*1.15</f>
        <v>0.59455000000000002</v>
      </c>
      <c r="Y6" s="14">
        <f>0.554*1.15</f>
        <v>0.6371</v>
      </c>
      <c r="Z6" s="13">
        <f>0.561*1.15</f>
        <v>0.64515</v>
      </c>
      <c r="AA6" s="14">
        <f>0.569*1.15</f>
        <v>0.65434999999999988</v>
      </c>
      <c r="AB6" s="13">
        <f>0.603*1.15</f>
        <v>0.6934499999999999</v>
      </c>
      <c r="AC6" s="14">
        <f>0.636*1.15</f>
        <v>0.73139999999999994</v>
      </c>
      <c r="AD6" s="13">
        <f>0.669*1.15</f>
        <v>0.76934999999999998</v>
      </c>
      <c r="AE6" s="14">
        <f>0.703*1.15</f>
        <v>0.80844999999999989</v>
      </c>
      <c r="AF6" s="13">
        <f>0.736*1.15</f>
        <v>0.84639999999999993</v>
      </c>
      <c r="AG6" s="14">
        <f>0.77*1.15</f>
        <v>0.88549999999999995</v>
      </c>
      <c r="AH6" s="13">
        <f>0.803*1.15</f>
        <v>0.92344999999999999</v>
      </c>
      <c r="AI6" s="14">
        <f>0.837*1.15</f>
        <v>0.96254999999999991</v>
      </c>
      <c r="AJ6" s="13">
        <f>0.87*1.15</f>
        <v>1.0004999999999999</v>
      </c>
      <c r="AK6" s="14">
        <f>0.904*1.15</f>
        <v>1.0395999999999999</v>
      </c>
      <c r="AL6" s="13">
        <f>0.937*1.15</f>
        <v>1.07755</v>
      </c>
      <c r="AM6" s="14">
        <f>0.971*1.15</f>
        <v>1.1166499999999999</v>
      </c>
      <c r="AN6" s="13">
        <f>1.004*1.15</f>
        <v>1.1545999999999998</v>
      </c>
      <c r="AO6" s="14">
        <f>1.038*1.15</f>
        <v>1.1937</v>
      </c>
      <c r="AP6" s="13">
        <f>1.058*1.15</f>
        <v>1.2166999999999999</v>
      </c>
      <c r="AQ6" s="14">
        <f>1.1*1.15</f>
        <v>1.2649999999999999</v>
      </c>
      <c r="AR6" s="16">
        <f>1.143*1.15</f>
        <v>1.3144499999999999</v>
      </c>
    </row>
    <row r="7" spans="5:44" ht="15.75" thickBot="1" x14ac:dyDescent="0.3">
      <c r="E7" s="42">
        <v>1</v>
      </c>
      <c r="F7" s="38">
        <v>1</v>
      </c>
      <c r="G7" t="str">
        <f t="shared" si="0"/>
        <v>1,1</v>
      </c>
      <c r="H7" s="18">
        <f>0.148*1.15</f>
        <v>0.17019999999999999</v>
      </c>
      <c r="J7" s="23">
        <v>1.375</v>
      </c>
      <c r="K7" s="19">
        <f>0.203*1.15</f>
        <v>0.23344999999999999</v>
      </c>
      <c r="L7" s="10">
        <f>0.254*1.15</f>
        <v>0.29209999999999997</v>
      </c>
      <c r="M7" s="10">
        <f>0.305*1.15</f>
        <v>0.35074999999999995</v>
      </c>
      <c r="N7" s="14">
        <f>0.406*1.15</f>
        <v>0.46689999999999998</v>
      </c>
    </row>
    <row r="8" spans="5:44" ht="15.75" thickBot="1" x14ac:dyDescent="0.3">
      <c r="E8" s="42">
        <v>1</v>
      </c>
      <c r="F8" s="38">
        <v>1.25</v>
      </c>
      <c r="G8" t="str">
        <f t="shared" si="0"/>
        <v>1,1.25</v>
      </c>
      <c r="H8" s="9">
        <f>0.185*1.15</f>
        <v>0.21274999999999999</v>
      </c>
      <c r="J8" s="22">
        <v>1.5</v>
      </c>
      <c r="K8" s="18">
        <f>0.222*1.15</f>
        <v>0.25529999999999997</v>
      </c>
      <c r="L8" s="9">
        <f>0.277*1.15</f>
        <v>0.31855</v>
      </c>
      <c r="M8" s="9">
        <f>0.332*1.15</f>
        <v>0.38179999999999997</v>
      </c>
      <c r="N8" s="13">
        <f>0.443*1.15</f>
        <v>0.50944999999999996</v>
      </c>
    </row>
    <row r="9" spans="5:44" ht="15.75" thickBot="1" x14ac:dyDescent="0.3">
      <c r="E9" s="42">
        <v>1</v>
      </c>
      <c r="F9" s="38">
        <v>1.5</v>
      </c>
      <c r="G9" t="str">
        <f t="shared" si="0"/>
        <v>1,1.5</v>
      </c>
      <c r="H9" s="9">
        <f>0.222*1.15</f>
        <v>0.25529999999999997</v>
      </c>
      <c r="J9" s="23">
        <v>1.625</v>
      </c>
      <c r="K9" s="19">
        <f>0.24*1.15</f>
        <v>0.27599999999999997</v>
      </c>
      <c r="L9" s="10">
        <f>0.3*1.15</f>
        <v>0.34499999999999997</v>
      </c>
      <c r="M9" s="10">
        <f>0.36*1.15</f>
        <v>0.41399999999999998</v>
      </c>
      <c r="N9" s="14">
        <f>0.48*1.15</f>
        <v>0.55199999999999994</v>
      </c>
    </row>
    <row r="10" spans="5:44" ht="15.75" thickBot="1" x14ac:dyDescent="0.3">
      <c r="E10" s="42">
        <v>1</v>
      </c>
      <c r="F10" s="39">
        <v>2</v>
      </c>
      <c r="G10" t="str">
        <f t="shared" si="0"/>
        <v>1,2</v>
      </c>
      <c r="H10" s="13">
        <f>0.295*1.15</f>
        <v>0.33924999999999994</v>
      </c>
      <c r="J10" s="22">
        <v>1.75</v>
      </c>
      <c r="K10" s="18">
        <f>0.258*1.15</f>
        <v>0.29669999999999996</v>
      </c>
      <c r="L10" s="9">
        <f>0.323*1.15</f>
        <v>0.37145</v>
      </c>
      <c r="M10" s="9">
        <f>0.388*1.15</f>
        <v>0.44619999999999999</v>
      </c>
      <c r="N10" s="13">
        <f>0.517*1.15</f>
        <v>0.59455000000000002</v>
      </c>
    </row>
    <row r="11" spans="5:44" ht="15.75" thickBot="1" x14ac:dyDescent="0.3">
      <c r="E11" s="41">
        <v>1.125</v>
      </c>
      <c r="F11" s="38">
        <v>1</v>
      </c>
      <c r="G11" t="str">
        <f t="shared" si="0"/>
        <v>1.125,1</v>
      </c>
      <c r="H11" s="19">
        <f>0.166/1.15</f>
        <v>0.14434782608695654</v>
      </c>
      <c r="J11" s="23">
        <v>1.875</v>
      </c>
      <c r="K11" s="19">
        <f>0.277*1.15</f>
        <v>0.31855</v>
      </c>
      <c r="L11" s="10">
        <f>0.346*1.15</f>
        <v>0.39789999999999992</v>
      </c>
      <c r="M11" s="10">
        <f>0.415*1.15</f>
        <v>0.47724999999999995</v>
      </c>
      <c r="N11" s="14">
        <f>0.554*1.15</f>
        <v>0.6371</v>
      </c>
    </row>
    <row r="12" spans="5:44" ht="15.75" thickBot="1" x14ac:dyDescent="0.3">
      <c r="E12" s="41">
        <v>1.125</v>
      </c>
      <c r="F12" s="38">
        <v>1.25</v>
      </c>
      <c r="G12" t="str">
        <f t="shared" si="0"/>
        <v>1.125,1.25</v>
      </c>
      <c r="H12" s="10">
        <f>0.208*1.15</f>
        <v>0.23919999999999997</v>
      </c>
      <c r="J12" s="22">
        <v>2</v>
      </c>
      <c r="K12" s="18">
        <f>0.28*1.15</f>
        <v>0.32200000000000001</v>
      </c>
      <c r="L12" s="9">
        <f>0.351*1.15</f>
        <v>0.40364999999999995</v>
      </c>
      <c r="M12" s="9">
        <f>0.421*1.15</f>
        <v>0.48414999999999997</v>
      </c>
      <c r="N12" s="13">
        <f>0.561*1.15</f>
        <v>0.64515</v>
      </c>
    </row>
    <row r="13" spans="5:44" ht="15.75" thickBot="1" x14ac:dyDescent="0.3">
      <c r="E13" s="41">
        <v>1.125</v>
      </c>
      <c r="F13" s="38">
        <v>1.5</v>
      </c>
      <c r="G13" t="str">
        <f t="shared" si="0"/>
        <v>1.125,1.5</v>
      </c>
      <c r="H13" s="10">
        <f>0.249*1.15</f>
        <v>0.28634999999999999</v>
      </c>
      <c r="J13" s="23">
        <v>2.125</v>
      </c>
      <c r="K13" s="19">
        <f>0.285*1.15</f>
        <v>0.32774999999999993</v>
      </c>
      <c r="L13" s="10">
        <f>0.356*1.15</f>
        <v>0.40939999999999993</v>
      </c>
      <c r="M13" s="10">
        <f>0.427*1.15</f>
        <v>0.49104999999999993</v>
      </c>
      <c r="N13" s="14">
        <f>0.569*1.15</f>
        <v>0.65434999999999988</v>
      </c>
    </row>
    <row r="14" spans="5:44" ht="15.75" thickBot="1" x14ac:dyDescent="0.3">
      <c r="E14" s="41">
        <v>1.125</v>
      </c>
      <c r="F14" s="39">
        <v>2</v>
      </c>
      <c r="G14" t="str">
        <f t="shared" si="0"/>
        <v>1.125,2</v>
      </c>
      <c r="H14" s="14">
        <f>0.332*1.15</f>
        <v>0.38179999999999997</v>
      </c>
      <c r="J14" s="22">
        <v>2.25</v>
      </c>
      <c r="K14" s="18">
        <f>0.301*1.15</f>
        <v>0.34614999999999996</v>
      </c>
      <c r="L14" s="9">
        <f>0.377*1.15</f>
        <v>0.43354999999999999</v>
      </c>
      <c r="M14" s="9">
        <f>0.452*1.15</f>
        <v>0.51979999999999993</v>
      </c>
      <c r="N14" s="13">
        <f>0.603*1.15</f>
        <v>0.6934499999999999</v>
      </c>
    </row>
    <row r="15" spans="5:44" ht="15.75" thickBot="1" x14ac:dyDescent="0.3">
      <c r="E15" s="42">
        <v>1.25</v>
      </c>
      <c r="F15" s="38">
        <v>1</v>
      </c>
      <c r="G15" t="str">
        <f t="shared" si="0"/>
        <v>1.25,1</v>
      </c>
      <c r="H15" s="18">
        <f>0.185*1.15</f>
        <v>0.21274999999999999</v>
      </c>
      <c r="J15" s="23">
        <v>2.375</v>
      </c>
      <c r="K15" s="19">
        <f>0.318*1.15</f>
        <v>0.36569999999999997</v>
      </c>
      <c r="L15" s="10">
        <f>0.397*1.15</f>
        <v>0.45655000000000001</v>
      </c>
      <c r="M15" s="10">
        <f>0.477*1.15</f>
        <v>0.54854999999999998</v>
      </c>
      <c r="N15" s="14">
        <f>0.636*1.15</f>
        <v>0.73139999999999994</v>
      </c>
    </row>
    <row r="16" spans="5:44" ht="15.75" thickBot="1" x14ac:dyDescent="0.3">
      <c r="E16" s="42">
        <v>1.25</v>
      </c>
      <c r="F16" s="38">
        <v>1.25</v>
      </c>
      <c r="G16" t="str">
        <f t="shared" si="0"/>
        <v>1.25,1.25</v>
      </c>
      <c r="H16" s="9">
        <f>0.231*1.15</f>
        <v>0.26565</v>
      </c>
      <c r="J16" s="22">
        <v>2.5</v>
      </c>
      <c r="K16" s="18">
        <f>0.335*1.15</f>
        <v>0.38524999999999998</v>
      </c>
      <c r="L16" s="9">
        <f>0.418*1.15</f>
        <v>0.48069999999999996</v>
      </c>
      <c r="M16" s="9">
        <f>0.502*1.15</f>
        <v>0.57729999999999992</v>
      </c>
      <c r="N16" s="13">
        <f>0.669*1.15</f>
        <v>0.76934999999999998</v>
      </c>
    </row>
    <row r="17" spans="5:14" ht="15.75" thickBot="1" x14ac:dyDescent="0.3">
      <c r="E17" s="42">
        <v>1.25</v>
      </c>
      <c r="F17" s="38">
        <v>1.5</v>
      </c>
      <c r="G17" t="str">
        <f t="shared" si="0"/>
        <v>1.25,1.5</v>
      </c>
      <c r="H17" s="9">
        <f>0.277*1.15</f>
        <v>0.31855</v>
      </c>
      <c r="J17" s="23">
        <v>2.625</v>
      </c>
      <c r="K17" s="19">
        <f>0.351*1.15</f>
        <v>0.40364999999999995</v>
      </c>
      <c r="L17" s="10">
        <f>0.439*1.15</f>
        <v>0.50484999999999991</v>
      </c>
      <c r="M17" s="10">
        <f>0.527*1.15</f>
        <v>0.60604999999999998</v>
      </c>
      <c r="N17" s="14">
        <f>0.703*1.15</f>
        <v>0.80844999999999989</v>
      </c>
    </row>
    <row r="18" spans="5:14" ht="15.75" thickBot="1" x14ac:dyDescent="0.3">
      <c r="E18" s="42">
        <v>1.25</v>
      </c>
      <c r="F18" s="39">
        <v>2</v>
      </c>
      <c r="G18" t="str">
        <f t="shared" si="0"/>
        <v>1.25,2</v>
      </c>
      <c r="H18" s="13">
        <f>0.369*1.15</f>
        <v>0.42434999999999995</v>
      </c>
      <c r="J18" s="22">
        <v>2.75</v>
      </c>
      <c r="K18" s="18">
        <f>0.368*1.15</f>
        <v>0.42319999999999997</v>
      </c>
      <c r="L18" s="9">
        <f>0.46*1.15</f>
        <v>0.52900000000000003</v>
      </c>
      <c r="M18" s="9">
        <f>0.552*1.15</f>
        <v>0.63480000000000003</v>
      </c>
      <c r="N18" s="13">
        <f>0.736*1.15</f>
        <v>0.84639999999999993</v>
      </c>
    </row>
    <row r="19" spans="5:14" ht="15.75" thickBot="1" x14ac:dyDescent="0.3">
      <c r="E19" s="41">
        <v>1.375</v>
      </c>
      <c r="F19" s="38">
        <v>1</v>
      </c>
      <c r="G19" t="str">
        <f t="shared" si="0"/>
        <v>1.375,1</v>
      </c>
      <c r="H19" s="19">
        <f>0.203*1.15</f>
        <v>0.23344999999999999</v>
      </c>
      <c r="J19" s="23">
        <v>2.875</v>
      </c>
      <c r="K19" s="19">
        <f>0.385*1.15</f>
        <v>0.44274999999999998</v>
      </c>
      <c r="L19" s="10">
        <f>0.481*1.15</f>
        <v>0.55314999999999992</v>
      </c>
      <c r="M19" s="10">
        <f>0.577*1.15</f>
        <v>0.66354999999999986</v>
      </c>
      <c r="N19" s="14">
        <f>0.77*1.15</f>
        <v>0.88549999999999995</v>
      </c>
    </row>
    <row r="20" spans="5:14" ht="15.75" thickBot="1" x14ac:dyDescent="0.3">
      <c r="E20" s="41">
        <v>1.375</v>
      </c>
      <c r="F20" s="38">
        <v>1.25</v>
      </c>
      <c r="G20" t="str">
        <f t="shared" si="0"/>
        <v>1.375,1.25</v>
      </c>
      <c r="H20" s="10">
        <f>0.254*1.15</f>
        <v>0.29209999999999997</v>
      </c>
      <c r="J20" s="22">
        <v>3</v>
      </c>
      <c r="K20" s="18">
        <f>0.402*1.15</f>
        <v>0.46229999999999999</v>
      </c>
      <c r="L20" s="9">
        <f>0.502*1.15</f>
        <v>0.57729999999999992</v>
      </c>
      <c r="M20" s="9">
        <f>0.603*1.15</f>
        <v>0.6934499999999999</v>
      </c>
      <c r="N20" s="13">
        <f>0.803*1.15</f>
        <v>0.92344999999999999</v>
      </c>
    </row>
    <row r="21" spans="5:14" ht="15.75" thickBot="1" x14ac:dyDescent="0.3">
      <c r="E21" s="41">
        <v>1.375</v>
      </c>
      <c r="F21" s="38">
        <v>1.5</v>
      </c>
      <c r="G21" t="str">
        <f t="shared" si="0"/>
        <v>1.375,1.5</v>
      </c>
      <c r="H21" s="10">
        <f>0.305*1.15</f>
        <v>0.35074999999999995</v>
      </c>
      <c r="J21" s="23">
        <v>3.125</v>
      </c>
      <c r="K21" s="19">
        <f>0.418*1.15</f>
        <v>0.48069999999999996</v>
      </c>
      <c r="L21" s="10">
        <f>0.523*1.15</f>
        <v>0.60144999999999993</v>
      </c>
      <c r="M21" s="10">
        <f>0.628*1.15</f>
        <v>0.72219999999999995</v>
      </c>
      <c r="N21" s="14">
        <f>0.837*1.15</f>
        <v>0.96254999999999991</v>
      </c>
    </row>
    <row r="22" spans="5:14" ht="15.75" thickBot="1" x14ac:dyDescent="0.3">
      <c r="E22" s="41">
        <v>1.375</v>
      </c>
      <c r="F22" s="39">
        <v>2</v>
      </c>
      <c r="G22" t="str">
        <f t="shared" si="0"/>
        <v>1.375,2</v>
      </c>
      <c r="H22" s="14">
        <f>0.406*1.15</f>
        <v>0.46689999999999998</v>
      </c>
      <c r="J22" s="22">
        <v>3.25</v>
      </c>
      <c r="K22" s="18">
        <f>0.435*1.15</f>
        <v>0.50024999999999997</v>
      </c>
      <c r="L22" s="9">
        <f>0.544*1.15</f>
        <v>0.62560000000000004</v>
      </c>
      <c r="M22" s="9">
        <f>0.653*1.15</f>
        <v>0.75095000000000001</v>
      </c>
      <c r="N22" s="13">
        <f>0.87*1.15</f>
        <v>1.0004999999999999</v>
      </c>
    </row>
    <row r="23" spans="5:14" ht="15.75" thickBot="1" x14ac:dyDescent="0.3">
      <c r="E23" s="42">
        <v>1.5</v>
      </c>
      <c r="F23" s="38">
        <v>1</v>
      </c>
      <c r="G23" t="str">
        <f t="shared" si="0"/>
        <v>1.5,1</v>
      </c>
      <c r="H23" s="18">
        <f>0.222*1.15</f>
        <v>0.25529999999999997</v>
      </c>
      <c r="J23" s="23">
        <v>3.375</v>
      </c>
      <c r="K23" s="19">
        <f>0.452*1.15</f>
        <v>0.51979999999999993</v>
      </c>
      <c r="L23" s="10">
        <f>0.565*1.15</f>
        <v>0.64974999999999994</v>
      </c>
      <c r="M23" s="10">
        <f>0.678*1.15</f>
        <v>0.77969999999999995</v>
      </c>
      <c r="N23" s="14">
        <f>0.904*1.15</f>
        <v>1.0395999999999999</v>
      </c>
    </row>
    <row r="24" spans="5:14" ht="15.75" thickBot="1" x14ac:dyDescent="0.3">
      <c r="E24" s="42">
        <v>1.5</v>
      </c>
      <c r="F24" s="38">
        <v>1.25</v>
      </c>
      <c r="G24" t="str">
        <f t="shared" si="0"/>
        <v>1.5,1.25</v>
      </c>
      <c r="H24" s="9">
        <f>0.277*1.15</f>
        <v>0.31855</v>
      </c>
      <c r="J24" s="22">
        <v>3.5</v>
      </c>
      <c r="K24" s="18">
        <f>0.469*1.15</f>
        <v>0.53934999999999989</v>
      </c>
      <c r="L24" s="9">
        <f>0.586*1.15</f>
        <v>0.67389999999999994</v>
      </c>
      <c r="M24" s="9">
        <f>0.703*1.15</f>
        <v>0.80844999999999989</v>
      </c>
      <c r="N24" s="13">
        <f>0.937*1.15</f>
        <v>1.07755</v>
      </c>
    </row>
    <row r="25" spans="5:14" ht="15.75" thickBot="1" x14ac:dyDescent="0.3">
      <c r="E25" s="42">
        <v>1.5</v>
      </c>
      <c r="F25" s="38">
        <v>1.5</v>
      </c>
      <c r="G25" t="str">
        <f t="shared" si="0"/>
        <v>1.5,1.5</v>
      </c>
      <c r="H25" s="9">
        <f>0.332*1.15</f>
        <v>0.38179999999999997</v>
      </c>
      <c r="J25" s="23">
        <v>3.625</v>
      </c>
      <c r="K25" s="19">
        <f>0.485*1.15</f>
        <v>0.55774999999999997</v>
      </c>
      <c r="L25" s="10">
        <f>0.607*1.15</f>
        <v>0.69804999999999995</v>
      </c>
      <c r="M25" s="10">
        <f>0.728*1.15</f>
        <v>0.83719999999999994</v>
      </c>
      <c r="N25" s="14">
        <f>0.971*1.15</f>
        <v>1.1166499999999999</v>
      </c>
    </row>
    <row r="26" spans="5:14" ht="15.75" thickBot="1" x14ac:dyDescent="0.3">
      <c r="E26" s="42">
        <v>1.5</v>
      </c>
      <c r="F26" s="39">
        <v>2</v>
      </c>
      <c r="G26" t="str">
        <f t="shared" si="0"/>
        <v>1.5,2</v>
      </c>
      <c r="H26" s="13">
        <f>0.443*1.15</f>
        <v>0.50944999999999996</v>
      </c>
      <c r="J26" s="22">
        <v>3.75</v>
      </c>
      <c r="K26" s="18">
        <f>0.502*1.15</f>
        <v>0.57729999999999992</v>
      </c>
      <c r="L26" s="9">
        <f>0.628*1.15</f>
        <v>0.72219999999999995</v>
      </c>
      <c r="M26" s="9">
        <f>0.753*1.15</f>
        <v>0.86594999999999989</v>
      </c>
      <c r="N26" s="13">
        <f>1.004*1.15</f>
        <v>1.1545999999999998</v>
      </c>
    </row>
    <row r="27" spans="5:14" ht="15.75" thickBot="1" x14ac:dyDescent="0.3">
      <c r="E27" s="41">
        <v>1.625</v>
      </c>
      <c r="F27" s="38">
        <v>1</v>
      </c>
      <c r="G27" t="str">
        <f t="shared" si="0"/>
        <v>1.625,1</v>
      </c>
      <c r="H27" s="19">
        <f>0.24*1.15</f>
        <v>0.27599999999999997</v>
      </c>
      <c r="J27" s="23">
        <v>3.875</v>
      </c>
      <c r="K27" s="19">
        <f>0.519*1.15</f>
        <v>0.59684999999999999</v>
      </c>
      <c r="L27" s="10">
        <f>0.649*1.15</f>
        <v>0.74634999999999996</v>
      </c>
      <c r="M27" s="10">
        <f>0.778*1.15</f>
        <v>0.89469999999999994</v>
      </c>
      <c r="N27" s="14">
        <f>1.038*1.15</f>
        <v>1.1937</v>
      </c>
    </row>
    <row r="28" spans="5:14" ht="15.75" thickBot="1" x14ac:dyDescent="0.3">
      <c r="E28" s="41">
        <v>1.625</v>
      </c>
      <c r="F28" s="38">
        <v>1.25</v>
      </c>
      <c r="G28" t="str">
        <f t="shared" si="0"/>
        <v>1.625,1.25</v>
      </c>
      <c r="H28" s="10">
        <f>0.3*1.15</f>
        <v>0.34499999999999997</v>
      </c>
      <c r="J28" s="22">
        <v>4</v>
      </c>
      <c r="K28" s="18">
        <f>0.529*1.15</f>
        <v>0.60834999999999995</v>
      </c>
      <c r="L28" s="9">
        <f>0.661*1.15</f>
        <v>0.76014999999999999</v>
      </c>
      <c r="M28" s="9">
        <f>0.793*1.15</f>
        <v>0.91194999999999993</v>
      </c>
      <c r="N28" s="13">
        <f>1.058*1.15</f>
        <v>1.2166999999999999</v>
      </c>
    </row>
    <row r="29" spans="5:14" ht="15.75" thickBot="1" x14ac:dyDescent="0.3">
      <c r="E29" s="41">
        <v>1.625</v>
      </c>
      <c r="F29" s="38">
        <v>1.5</v>
      </c>
      <c r="G29" t="str">
        <f t="shared" si="0"/>
        <v>1.625,1.5</v>
      </c>
      <c r="H29" s="10">
        <f>0.36*1.15</f>
        <v>0.41399999999999998</v>
      </c>
      <c r="J29" s="23">
        <v>4.25</v>
      </c>
      <c r="K29" s="19">
        <f>0.55*1.15</f>
        <v>0.63249999999999995</v>
      </c>
      <c r="L29" s="10">
        <f>0.687*1.15</f>
        <v>0.79005000000000003</v>
      </c>
      <c r="M29" s="10">
        <f>0.825*1.15</f>
        <v>0.94874999999999987</v>
      </c>
      <c r="N29" s="14">
        <f>1.1*1.15</f>
        <v>1.2649999999999999</v>
      </c>
    </row>
    <row r="30" spans="5:14" ht="15.75" thickBot="1" x14ac:dyDescent="0.3">
      <c r="E30" s="41">
        <v>1.625</v>
      </c>
      <c r="F30" s="39">
        <v>2</v>
      </c>
      <c r="G30" t="str">
        <f t="shared" si="0"/>
        <v>1.625,2</v>
      </c>
      <c r="H30" s="14">
        <f>0.48*1.15</f>
        <v>0.55199999999999994</v>
      </c>
      <c r="J30" s="24">
        <v>4.5</v>
      </c>
      <c r="K30" s="20">
        <f>0.571*1.15</f>
        <v>0.65664999999999984</v>
      </c>
      <c r="L30" s="15">
        <f>0.714*1.15</f>
        <v>0.82109999999999994</v>
      </c>
      <c r="M30" s="15">
        <f>0.857*1.15</f>
        <v>0.98554999999999993</v>
      </c>
      <c r="N30" s="16">
        <f>1.143*1.15</f>
        <v>1.3144499999999999</v>
      </c>
    </row>
    <row r="31" spans="5:14" ht="15.75" thickBot="1" x14ac:dyDescent="0.3">
      <c r="E31" s="42">
        <v>1.75</v>
      </c>
      <c r="F31" s="38">
        <v>1</v>
      </c>
      <c r="G31" t="str">
        <f t="shared" si="0"/>
        <v>1.75,1</v>
      </c>
      <c r="H31" s="18">
        <f>0.258*1.15</f>
        <v>0.29669999999999996</v>
      </c>
    </row>
    <row r="32" spans="5:14" ht="15.75" thickBot="1" x14ac:dyDescent="0.3">
      <c r="E32" s="42">
        <v>1.75</v>
      </c>
      <c r="F32" s="38">
        <v>1.25</v>
      </c>
      <c r="G32" t="str">
        <f t="shared" si="0"/>
        <v>1.75,1.25</v>
      </c>
      <c r="H32" s="9">
        <f>0.323*1.15</f>
        <v>0.37145</v>
      </c>
    </row>
    <row r="33" spans="5:8" ht="15.75" thickBot="1" x14ac:dyDescent="0.3">
      <c r="E33" s="42">
        <v>1.75</v>
      </c>
      <c r="F33" s="38">
        <v>1.5</v>
      </c>
      <c r="G33" t="str">
        <f t="shared" si="0"/>
        <v>1.75,1.5</v>
      </c>
      <c r="H33" s="9">
        <f>0.388*1.15</f>
        <v>0.44619999999999999</v>
      </c>
    </row>
    <row r="34" spans="5:8" ht="15.75" thickBot="1" x14ac:dyDescent="0.3">
      <c r="E34" s="42">
        <v>1.75</v>
      </c>
      <c r="F34" s="39">
        <v>2</v>
      </c>
      <c r="G34" t="str">
        <f t="shared" si="0"/>
        <v>1.75,2</v>
      </c>
      <c r="H34" s="13">
        <f>0.517*1.15</f>
        <v>0.59455000000000002</v>
      </c>
    </row>
    <row r="35" spans="5:8" ht="15.75" thickBot="1" x14ac:dyDescent="0.3">
      <c r="E35" s="41">
        <v>1.875</v>
      </c>
      <c r="F35" s="38">
        <v>1</v>
      </c>
      <c r="G35" t="str">
        <f t="shared" si="0"/>
        <v>1.875,1</v>
      </c>
      <c r="H35" s="19">
        <f>0.277*1.15</f>
        <v>0.31855</v>
      </c>
    </row>
    <row r="36" spans="5:8" ht="15.75" thickBot="1" x14ac:dyDescent="0.3">
      <c r="E36" s="41">
        <v>1.875</v>
      </c>
      <c r="F36" s="38">
        <v>1.25</v>
      </c>
      <c r="G36" t="str">
        <f t="shared" si="0"/>
        <v>1.875,1.25</v>
      </c>
      <c r="H36" s="10">
        <f>0.346*1.15</f>
        <v>0.39789999999999992</v>
      </c>
    </row>
    <row r="37" spans="5:8" ht="15.75" thickBot="1" x14ac:dyDescent="0.3">
      <c r="E37" s="41">
        <v>1.875</v>
      </c>
      <c r="F37" s="38">
        <v>1.5</v>
      </c>
      <c r="G37" t="str">
        <f t="shared" si="0"/>
        <v>1.875,1.5</v>
      </c>
      <c r="H37" s="10">
        <f>0.415*1.15</f>
        <v>0.47724999999999995</v>
      </c>
    </row>
    <row r="38" spans="5:8" ht="15.75" thickBot="1" x14ac:dyDescent="0.3">
      <c r="E38" s="41">
        <v>1.875</v>
      </c>
      <c r="F38" s="39">
        <v>2</v>
      </c>
      <c r="G38" t="str">
        <f t="shared" si="0"/>
        <v>1.875,2</v>
      </c>
      <c r="H38" s="14">
        <f>0.554*1.15</f>
        <v>0.6371</v>
      </c>
    </row>
    <row r="39" spans="5:8" ht="15.75" thickBot="1" x14ac:dyDescent="0.3">
      <c r="E39" s="42">
        <v>2</v>
      </c>
      <c r="F39" s="38">
        <v>1</v>
      </c>
      <c r="G39" t="str">
        <f t="shared" si="0"/>
        <v>2,1</v>
      </c>
      <c r="H39" s="18">
        <f>0.28*1.15</f>
        <v>0.32200000000000001</v>
      </c>
    </row>
    <row r="40" spans="5:8" ht="15.75" thickBot="1" x14ac:dyDescent="0.3">
      <c r="E40" s="42">
        <v>2</v>
      </c>
      <c r="F40" s="38">
        <v>1.25</v>
      </c>
      <c r="G40" t="str">
        <f t="shared" si="0"/>
        <v>2,1.25</v>
      </c>
      <c r="H40" s="9">
        <f>0.351*1.15</f>
        <v>0.40364999999999995</v>
      </c>
    </row>
    <row r="41" spans="5:8" ht="15.75" thickBot="1" x14ac:dyDescent="0.3">
      <c r="E41" s="42">
        <v>2</v>
      </c>
      <c r="F41" s="38">
        <v>1.5</v>
      </c>
      <c r="G41" t="str">
        <f t="shared" si="0"/>
        <v>2,1.5</v>
      </c>
      <c r="H41" s="9">
        <f>0.421*1.15</f>
        <v>0.48414999999999997</v>
      </c>
    </row>
    <row r="42" spans="5:8" ht="15.75" thickBot="1" x14ac:dyDescent="0.3">
      <c r="E42" s="42">
        <v>2</v>
      </c>
      <c r="F42" s="39">
        <v>2</v>
      </c>
      <c r="G42" t="str">
        <f t="shared" si="0"/>
        <v>2,2</v>
      </c>
      <c r="H42" s="13">
        <f>0.561*1.15</f>
        <v>0.64515</v>
      </c>
    </row>
    <row r="43" spans="5:8" ht="15.75" thickBot="1" x14ac:dyDescent="0.3">
      <c r="E43" s="41">
        <v>2.125</v>
      </c>
      <c r="F43" s="38">
        <v>1</v>
      </c>
      <c r="G43" t="str">
        <f t="shared" si="0"/>
        <v>2.125,1</v>
      </c>
      <c r="H43" s="19">
        <f>0.285*1.15</f>
        <v>0.32774999999999993</v>
      </c>
    </row>
    <row r="44" spans="5:8" ht="15.75" thickBot="1" x14ac:dyDescent="0.3">
      <c r="E44" s="41">
        <v>2.125</v>
      </c>
      <c r="F44" s="38">
        <v>1.25</v>
      </c>
      <c r="G44" t="str">
        <f t="shared" si="0"/>
        <v>2.125,1.25</v>
      </c>
      <c r="H44" s="10">
        <f>0.356*1.15</f>
        <v>0.40939999999999993</v>
      </c>
    </row>
    <row r="45" spans="5:8" ht="15.75" thickBot="1" x14ac:dyDescent="0.3">
      <c r="E45" s="41">
        <v>2.125</v>
      </c>
      <c r="F45" s="38">
        <v>1.5</v>
      </c>
      <c r="G45" t="str">
        <f t="shared" si="0"/>
        <v>2.125,1.5</v>
      </c>
      <c r="H45" s="10">
        <f>0.427*1.15</f>
        <v>0.49104999999999993</v>
      </c>
    </row>
    <row r="46" spans="5:8" ht="15.75" thickBot="1" x14ac:dyDescent="0.3">
      <c r="E46" s="41">
        <v>2.125</v>
      </c>
      <c r="F46" s="39">
        <v>2</v>
      </c>
      <c r="G46" t="str">
        <f t="shared" si="0"/>
        <v>2.125,2</v>
      </c>
      <c r="H46" s="14">
        <f>0.569*1.15</f>
        <v>0.65434999999999988</v>
      </c>
    </row>
    <row r="47" spans="5:8" ht="15.75" thickBot="1" x14ac:dyDescent="0.3">
      <c r="E47" s="42">
        <v>2.25</v>
      </c>
      <c r="F47" s="38">
        <v>1</v>
      </c>
      <c r="G47" t="str">
        <f t="shared" si="0"/>
        <v>2.25,1</v>
      </c>
      <c r="H47" s="18">
        <f>0.301*1.15</f>
        <v>0.34614999999999996</v>
      </c>
    </row>
    <row r="48" spans="5:8" ht="15.75" thickBot="1" x14ac:dyDescent="0.3">
      <c r="E48" s="42">
        <v>2.25</v>
      </c>
      <c r="F48" s="38">
        <v>1.25</v>
      </c>
      <c r="G48" t="str">
        <f t="shared" si="0"/>
        <v>2.25,1.25</v>
      </c>
      <c r="H48" s="9">
        <f>0.377*1.15</f>
        <v>0.43354999999999999</v>
      </c>
    </row>
    <row r="49" spans="5:32" ht="15.75" thickBot="1" x14ac:dyDescent="0.3">
      <c r="E49" s="42">
        <v>2.25</v>
      </c>
      <c r="F49" s="38">
        <v>1.5</v>
      </c>
      <c r="G49" t="str">
        <f t="shared" si="0"/>
        <v>2.25,1.5</v>
      </c>
      <c r="H49" s="9">
        <f>0.452*1.15</f>
        <v>0.51979999999999993</v>
      </c>
    </row>
    <row r="50" spans="5:32" ht="15.75" thickBot="1" x14ac:dyDescent="0.3">
      <c r="E50" s="42">
        <v>2.25</v>
      </c>
      <c r="F50" s="39">
        <v>2</v>
      </c>
      <c r="G50" t="str">
        <f t="shared" si="0"/>
        <v>2.25,2</v>
      </c>
      <c r="H50" s="13">
        <f>0.603*1.15</f>
        <v>0.6934499999999999</v>
      </c>
    </row>
    <row r="51" spans="5:32" ht="15.75" thickBot="1" x14ac:dyDescent="0.3">
      <c r="E51" s="41">
        <v>2.375</v>
      </c>
      <c r="F51" s="38">
        <v>1</v>
      </c>
      <c r="G51" t="str">
        <f t="shared" si="0"/>
        <v>2.375,1</v>
      </c>
      <c r="H51" s="19">
        <f>0.318*1.15</f>
        <v>0.36569999999999997</v>
      </c>
    </row>
    <row r="52" spans="5:32" ht="15.75" thickBot="1" x14ac:dyDescent="0.3">
      <c r="E52" s="41">
        <v>2.375</v>
      </c>
      <c r="F52" s="38">
        <v>1.25</v>
      </c>
      <c r="G52" t="str">
        <f t="shared" si="0"/>
        <v>2.375,1.25</v>
      </c>
      <c r="H52" s="10">
        <f>0.397*1.15</f>
        <v>0.45655000000000001</v>
      </c>
    </row>
    <row r="53" spans="5:32" ht="15.75" thickBot="1" x14ac:dyDescent="0.3">
      <c r="E53" s="41">
        <v>2.375</v>
      </c>
      <c r="F53" s="38">
        <v>1.5</v>
      </c>
      <c r="G53" t="str">
        <f t="shared" si="0"/>
        <v>2.375,1.5</v>
      </c>
      <c r="H53" s="10">
        <f>0.477*1.15</f>
        <v>0.54854999999999998</v>
      </c>
    </row>
    <row r="54" spans="5:32" ht="15.75" thickBot="1" x14ac:dyDescent="0.3">
      <c r="E54" s="41">
        <v>2.375</v>
      </c>
      <c r="F54" s="39">
        <v>2</v>
      </c>
      <c r="G54" t="str">
        <f t="shared" si="0"/>
        <v>2.375,2</v>
      </c>
      <c r="H54" s="14">
        <f>0.636*1.15</f>
        <v>0.73139999999999994</v>
      </c>
    </row>
    <row r="55" spans="5:32" ht="15.75" thickBot="1" x14ac:dyDescent="0.3">
      <c r="E55" s="42">
        <v>2.5</v>
      </c>
      <c r="F55" s="38">
        <v>1</v>
      </c>
      <c r="G55" t="str">
        <f t="shared" si="0"/>
        <v>2.5,1</v>
      </c>
      <c r="H55" s="18">
        <f>0.335*1.15</f>
        <v>0.38524999999999998</v>
      </c>
    </row>
    <row r="56" spans="5:32" ht="15.75" thickBot="1" x14ac:dyDescent="0.3">
      <c r="E56" s="42">
        <v>2.5</v>
      </c>
      <c r="F56" s="38">
        <v>1.25</v>
      </c>
      <c r="G56" t="str">
        <f t="shared" si="0"/>
        <v>2.5,1.25</v>
      </c>
      <c r="H56" s="9">
        <f>0.418*1.15</f>
        <v>0.48069999999999996</v>
      </c>
    </row>
    <row r="57" spans="5:32" ht="15.75" thickBot="1" x14ac:dyDescent="0.3">
      <c r="E57" s="42">
        <v>2.5</v>
      </c>
      <c r="F57" s="38">
        <v>1.5</v>
      </c>
      <c r="G57" t="str">
        <f t="shared" si="0"/>
        <v>2.5,1.5</v>
      </c>
      <c r="H57" s="9">
        <f>0.502*1.15</f>
        <v>0.57729999999999992</v>
      </c>
    </row>
    <row r="58" spans="5:32" ht="15.75" thickBot="1" x14ac:dyDescent="0.3">
      <c r="E58" s="42">
        <v>2.5</v>
      </c>
      <c r="F58" s="39">
        <v>2</v>
      </c>
      <c r="G58" t="str">
        <f t="shared" si="0"/>
        <v>2.5,2</v>
      </c>
      <c r="H58" s="13">
        <f>0.669*1.15</f>
        <v>0.76934999999999998</v>
      </c>
    </row>
    <row r="59" spans="5:32" ht="15.75" thickBot="1" x14ac:dyDescent="0.3">
      <c r="E59" s="41">
        <v>2.625</v>
      </c>
      <c r="F59" s="38">
        <v>1</v>
      </c>
      <c r="G59" t="str">
        <f t="shared" si="0"/>
        <v>2.625,1</v>
      </c>
      <c r="H59" s="19">
        <f>0.351*1.15</f>
        <v>0.40364999999999995</v>
      </c>
    </row>
    <row r="60" spans="5:32" ht="15.75" thickBot="1" x14ac:dyDescent="0.3">
      <c r="E60" s="41">
        <v>2.625</v>
      </c>
      <c r="F60" s="38">
        <v>1.25</v>
      </c>
      <c r="G60" t="str">
        <f t="shared" si="0"/>
        <v>2.625,1.25</v>
      </c>
      <c r="H60" s="10">
        <f>0.439*1.15</f>
        <v>0.50484999999999991</v>
      </c>
    </row>
    <row r="61" spans="5:32" ht="15.75" thickBot="1" x14ac:dyDescent="0.3">
      <c r="E61" s="41">
        <v>2.625</v>
      </c>
      <c r="F61" s="38">
        <v>1.5</v>
      </c>
      <c r="G61" t="str">
        <f t="shared" si="0"/>
        <v>2.625,1.5</v>
      </c>
      <c r="H61" s="10">
        <f>0.527*1.15</f>
        <v>0.60604999999999998</v>
      </c>
    </row>
    <row r="62" spans="5:32" ht="15.75" thickBot="1" x14ac:dyDescent="0.3">
      <c r="E62" s="41">
        <v>2.625</v>
      </c>
      <c r="F62" s="39">
        <v>2</v>
      </c>
      <c r="G62" t="str">
        <f t="shared" si="0"/>
        <v>2.625,2</v>
      </c>
      <c r="H62" s="14">
        <f>0.703*1.15</f>
        <v>0.80844999999999989</v>
      </c>
    </row>
    <row r="63" spans="5:32" ht="15.75" thickBot="1" x14ac:dyDescent="0.3">
      <c r="E63" s="42">
        <v>2.75</v>
      </c>
      <c r="F63" s="38">
        <v>1</v>
      </c>
      <c r="G63" t="str">
        <f t="shared" si="0"/>
        <v>2.75,1</v>
      </c>
      <c r="H63" s="18">
        <f>0.368*1.15</f>
        <v>0.42319999999999997</v>
      </c>
      <c r="Q63" s="19">
        <f>0.318*1.15</f>
        <v>0.36569999999999997</v>
      </c>
      <c r="R63" s="18">
        <f>0.335*1.15</f>
        <v>0.38524999999999998</v>
      </c>
      <c r="S63" s="19">
        <f>0.351*1.15</f>
        <v>0.40364999999999995</v>
      </c>
      <c r="T63" s="18">
        <f>0.368*1.15</f>
        <v>0.42319999999999997</v>
      </c>
      <c r="U63" s="19">
        <f>0.385*1.15</f>
        <v>0.44274999999999998</v>
      </c>
      <c r="V63" s="18">
        <f>0.402*1.15</f>
        <v>0.46229999999999999</v>
      </c>
      <c r="W63" s="19">
        <f>0.418*1.15</f>
        <v>0.48069999999999996</v>
      </c>
      <c r="X63" s="18">
        <f>0.435*1.15</f>
        <v>0.50024999999999997</v>
      </c>
      <c r="Y63" s="19">
        <f>0.452*1.15</f>
        <v>0.51979999999999993</v>
      </c>
      <c r="Z63" s="18">
        <f>0.469*1.15</f>
        <v>0.53934999999999989</v>
      </c>
      <c r="AA63" s="19">
        <f>0.485*1.15</f>
        <v>0.55774999999999997</v>
      </c>
      <c r="AB63" s="18">
        <f>0.502*1.15</f>
        <v>0.57729999999999992</v>
      </c>
      <c r="AC63" s="19">
        <f>0.519*1.15</f>
        <v>0.59684999999999999</v>
      </c>
      <c r="AD63" s="18">
        <f>0.529*1.15</f>
        <v>0.60834999999999995</v>
      </c>
      <c r="AE63" s="19">
        <f>0.55*1.15</f>
        <v>0.63249999999999995</v>
      </c>
      <c r="AF63" s="20">
        <f>0.571*1.15</f>
        <v>0.65664999999999984</v>
      </c>
    </row>
    <row r="64" spans="5:32" ht="15.75" thickBot="1" x14ac:dyDescent="0.3">
      <c r="E64" s="42">
        <v>2.75</v>
      </c>
      <c r="F64" s="38">
        <v>1.25</v>
      </c>
      <c r="G64" t="str">
        <f t="shared" si="0"/>
        <v>2.75,1.25</v>
      </c>
      <c r="H64" s="9">
        <f>0.46*1.15</f>
        <v>0.52900000000000003</v>
      </c>
      <c r="Q64" s="10">
        <f>0.397*1.15</f>
        <v>0.45655000000000001</v>
      </c>
      <c r="R64" s="9">
        <f>0.418*1.15</f>
        <v>0.48069999999999996</v>
      </c>
      <c r="S64" s="10">
        <f>0.439*1.15</f>
        <v>0.50484999999999991</v>
      </c>
      <c r="T64" s="9">
        <f>0.46*1.15</f>
        <v>0.52900000000000003</v>
      </c>
      <c r="U64" s="10">
        <f>0.481*1.15</f>
        <v>0.55314999999999992</v>
      </c>
      <c r="V64" s="9">
        <f>0.502*1.15</f>
        <v>0.57729999999999992</v>
      </c>
      <c r="W64" s="10">
        <f>0.523*1.15</f>
        <v>0.60144999999999993</v>
      </c>
      <c r="X64" s="9">
        <f>0.544*1.15</f>
        <v>0.62560000000000004</v>
      </c>
      <c r="Y64" s="10">
        <f>0.565*1.15</f>
        <v>0.64974999999999994</v>
      </c>
      <c r="Z64" s="9">
        <f>0.586*1.15</f>
        <v>0.67389999999999994</v>
      </c>
      <c r="AA64" s="10">
        <f>0.607*1.15</f>
        <v>0.69804999999999995</v>
      </c>
      <c r="AB64" s="9">
        <f>0.628*1.15</f>
        <v>0.72219999999999995</v>
      </c>
      <c r="AC64" s="10">
        <f>0.649*1.15</f>
        <v>0.74634999999999996</v>
      </c>
      <c r="AD64" s="9">
        <f>0.661*1.15</f>
        <v>0.76014999999999999</v>
      </c>
      <c r="AE64" s="10">
        <f>0.687*1.15</f>
        <v>0.79005000000000003</v>
      </c>
      <c r="AF64" s="15">
        <f>0.714*1.15</f>
        <v>0.82109999999999994</v>
      </c>
    </row>
    <row r="65" spans="5:32" ht="15.75" thickBot="1" x14ac:dyDescent="0.3">
      <c r="E65" s="42">
        <v>2.75</v>
      </c>
      <c r="F65" s="38">
        <v>1.5</v>
      </c>
      <c r="G65" t="str">
        <f t="shared" si="0"/>
        <v>2.75,1.5</v>
      </c>
      <c r="H65" s="9">
        <f>0.552*1.15</f>
        <v>0.63480000000000003</v>
      </c>
      <c r="Q65" s="10">
        <f>0.477*1.15</f>
        <v>0.54854999999999998</v>
      </c>
      <c r="R65" s="9">
        <f>0.502*1.15</f>
        <v>0.57729999999999992</v>
      </c>
      <c r="S65" s="10">
        <f>0.527*1.15</f>
        <v>0.60604999999999998</v>
      </c>
      <c r="T65" s="9">
        <f>0.552*1.15</f>
        <v>0.63480000000000003</v>
      </c>
      <c r="U65" s="10">
        <f>0.577*1.15</f>
        <v>0.66354999999999986</v>
      </c>
      <c r="V65" s="9">
        <f>0.603*1.15</f>
        <v>0.6934499999999999</v>
      </c>
      <c r="W65" s="10">
        <f>0.628*1.15</f>
        <v>0.72219999999999995</v>
      </c>
      <c r="X65" s="9">
        <f>0.653*1.15</f>
        <v>0.75095000000000001</v>
      </c>
      <c r="Y65" s="10">
        <f>0.678*1.15</f>
        <v>0.77969999999999995</v>
      </c>
      <c r="Z65" s="9">
        <f>0.703*1.15</f>
        <v>0.80844999999999989</v>
      </c>
      <c r="AA65" s="10">
        <f>0.728*1.15</f>
        <v>0.83719999999999994</v>
      </c>
      <c r="AB65" s="9">
        <f>0.753*1.15</f>
        <v>0.86594999999999989</v>
      </c>
      <c r="AC65" s="10">
        <f>0.778*1.15</f>
        <v>0.89469999999999994</v>
      </c>
      <c r="AD65" s="9">
        <f>0.793*1.15</f>
        <v>0.91194999999999993</v>
      </c>
      <c r="AE65" s="10">
        <f>0.825*1.15</f>
        <v>0.94874999999999987</v>
      </c>
      <c r="AF65" s="15">
        <f>0.857*1.15</f>
        <v>0.98554999999999993</v>
      </c>
    </row>
    <row r="66" spans="5:32" ht="15.75" thickBot="1" x14ac:dyDescent="0.3">
      <c r="E66" s="42">
        <v>2.75</v>
      </c>
      <c r="F66" s="39">
        <v>2</v>
      </c>
      <c r="G66" t="str">
        <f t="shared" si="0"/>
        <v>2.75,2</v>
      </c>
      <c r="H66" s="13">
        <f>0.736*1.15</f>
        <v>0.84639999999999993</v>
      </c>
      <c r="Q66" s="14">
        <f>0.636*1.15</f>
        <v>0.73139999999999994</v>
      </c>
      <c r="R66" s="13">
        <f>0.669*1.15</f>
        <v>0.76934999999999998</v>
      </c>
      <c r="S66" s="14">
        <f>0.703*1.15</f>
        <v>0.80844999999999989</v>
      </c>
      <c r="T66" s="13">
        <f>0.736*1.15</f>
        <v>0.84639999999999993</v>
      </c>
      <c r="U66" s="14">
        <f>0.77*1.15</f>
        <v>0.88549999999999995</v>
      </c>
      <c r="V66" s="13">
        <f>0.803*1.15</f>
        <v>0.92344999999999999</v>
      </c>
      <c r="W66" s="14">
        <f>0.837*1.15</f>
        <v>0.96254999999999991</v>
      </c>
      <c r="X66" s="13">
        <f>0.87*1.15</f>
        <v>1.0004999999999999</v>
      </c>
      <c r="Y66" s="14">
        <f>0.904*1.15</f>
        <v>1.0395999999999999</v>
      </c>
      <c r="Z66" s="13">
        <f>0.937*1.15</f>
        <v>1.07755</v>
      </c>
      <c r="AA66" s="14">
        <f>0.971*1.15</f>
        <v>1.1166499999999999</v>
      </c>
      <c r="AB66" s="13">
        <f>1.004*1.15</f>
        <v>1.1545999999999998</v>
      </c>
      <c r="AC66" s="14">
        <f>1.038*1.15</f>
        <v>1.1937</v>
      </c>
      <c r="AD66" s="13">
        <f>1.058*1.15</f>
        <v>1.2166999999999999</v>
      </c>
      <c r="AE66" s="14">
        <f>1.1*1.15</f>
        <v>1.2649999999999999</v>
      </c>
      <c r="AF66" s="16">
        <f>1.143*1.15</f>
        <v>1.3144499999999999</v>
      </c>
    </row>
    <row r="67" spans="5:32" ht="15.75" thickBot="1" x14ac:dyDescent="0.3">
      <c r="E67" s="41">
        <v>2.875</v>
      </c>
      <c r="F67" s="38">
        <v>1</v>
      </c>
      <c r="G67" t="str">
        <f t="shared" si="0"/>
        <v>2.875,1</v>
      </c>
      <c r="H67" s="19">
        <f>0.385*1.15</f>
        <v>0.44274999999999998</v>
      </c>
    </row>
    <row r="68" spans="5:32" ht="15.75" thickBot="1" x14ac:dyDescent="0.3">
      <c r="E68" s="41">
        <v>2.875</v>
      </c>
      <c r="F68" s="38">
        <v>1.25</v>
      </c>
      <c r="G68" t="str">
        <f t="shared" ref="G68:G131" si="1">CONCATENATE(E68,",",F68)</f>
        <v>2.875,1.25</v>
      </c>
      <c r="H68" s="10">
        <f>0.481*1.15</f>
        <v>0.55314999999999992</v>
      </c>
    </row>
    <row r="69" spans="5:32" ht="15.75" thickBot="1" x14ac:dyDescent="0.3">
      <c r="E69" s="41">
        <v>2.875</v>
      </c>
      <c r="F69" s="38">
        <v>1.5</v>
      </c>
      <c r="G69" t="str">
        <f t="shared" si="1"/>
        <v>2.875,1.5</v>
      </c>
      <c r="H69" s="10">
        <f>0.577*1.15</f>
        <v>0.66354999999999986</v>
      </c>
    </row>
    <row r="70" spans="5:32" ht="15.75" thickBot="1" x14ac:dyDescent="0.3">
      <c r="E70" s="41">
        <v>2.875</v>
      </c>
      <c r="F70" s="39">
        <v>2</v>
      </c>
      <c r="G70" t="str">
        <f t="shared" si="1"/>
        <v>2.875,2</v>
      </c>
      <c r="H70" s="14">
        <f>0.77*1.15</f>
        <v>0.88549999999999995</v>
      </c>
    </row>
    <row r="71" spans="5:32" ht="15.75" thickBot="1" x14ac:dyDescent="0.3">
      <c r="E71" s="42">
        <v>3</v>
      </c>
      <c r="F71" s="38">
        <v>1</v>
      </c>
      <c r="G71" t="str">
        <f t="shared" si="1"/>
        <v>3,1</v>
      </c>
      <c r="H71" s="18">
        <f>0.402*1.15</f>
        <v>0.46229999999999999</v>
      </c>
    </row>
    <row r="72" spans="5:32" ht="15.75" thickBot="1" x14ac:dyDescent="0.3">
      <c r="E72" s="42">
        <v>3</v>
      </c>
      <c r="F72" s="38">
        <v>1.25</v>
      </c>
      <c r="G72" t="str">
        <f t="shared" si="1"/>
        <v>3,1.25</v>
      </c>
      <c r="H72" s="9">
        <f>0.502*1.15</f>
        <v>0.57729999999999992</v>
      </c>
    </row>
    <row r="73" spans="5:32" ht="15.75" thickBot="1" x14ac:dyDescent="0.3">
      <c r="E73" s="42">
        <v>3</v>
      </c>
      <c r="F73" s="38">
        <v>1.5</v>
      </c>
      <c r="G73" t="str">
        <f t="shared" si="1"/>
        <v>3,1.5</v>
      </c>
      <c r="H73" s="9">
        <f>0.603*1.15</f>
        <v>0.6934499999999999</v>
      </c>
    </row>
    <row r="74" spans="5:32" ht="15.75" thickBot="1" x14ac:dyDescent="0.3">
      <c r="E74" s="42">
        <v>3</v>
      </c>
      <c r="F74" s="39">
        <v>2</v>
      </c>
      <c r="G74" t="str">
        <f t="shared" si="1"/>
        <v>3,2</v>
      </c>
      <c r="H74" s="13">
        <f>0.803*1.15</f>
        <v>0.92344999999999999</v>
      </c>
    </row>
    <row r="75" spans="5:32" ht="15.75" thickBot="1" x14ac:dyDescent="0.3">
      <c r="E75" s="41">
        <v>3.125</v>
      </c>
      <c r="F75" s="38">
        <v>1</v>
      </c>
      <c r="G75" t="str">
        <f t="shared" si="1"/>
        <v>3.125,1</v>
      </c>
      <c r="H75" s="19">
        <f>0.418*1.15</f>
        <v>0.48069999999999996</v>
      </c>
    </row>
    <row r="76" spans="5:32" ht="15.75" thickBot="1" x14ac:dyDescent="0.3">
      <c r="E76" s="41">
        <v>3.125</v>
      </c>
      <c r="F76" s="38">
        <v>1.25</v>
      </c>
      <c r="G76" t="str">
        <f t="shared" si="1"/>
        <v>3.125,1.25</v>
      </c>
      <c r="H76" s="10">
        <f>0.523*1.15</f>
        <v>0.60144999999999993</v>
      </c>
    </row>
    <row r="77" spans="5:32" ht="15.75" thickBot="1" x14ac:dyDescent="0.3">
      <c r="E77" s="41">
        <v>3.125</v>
      </c>
      <c r="F77" s="38">
        <v>1.5</v>
      </c>
      <c r="G77" t="str">
        <f t="shared" si="1"/>
        <v>3.125,1.5</v>
      </c>
      <c r="H77" s="10">
        <f>0.628*1.15</f>
        <v>0.72219999999999995</v>
      </c>
    </row>
    <row r="78" spans="5:32" ht="15.75" thickBot="1" x14ac:dyDescent="0.3">
      <c r="E78" s="41">
        <v>3.125</v>
      </c>
      <c r="F78" s="39">
        <v>2</v>
      </c>
      <c r="G78" t="str">
        <f t="shared" si="1"/>
        <v>3.125,2</v>
      </c>
      <c r="H78" s="14">
        <f>0.837*1.15</f>
        <v>0.96254999999999991</v>
      </c>
    </row>
    <row r="79" spans="5:32" ht="15.75" thickBot="1" x14ac:dyDescent="0.3">
      <c r="E79" s="42">
        <v>3.25</v>
      </c>
      <c r="F79" s="38">
        <v>1</v>
      </c>
      <c r="G79" t="str">
        <f t="shared" si="1"/>
        <v>3.25,1</v>
      </c>
      <c r="H79" s="18">
        <f>0.435*1.15</f>
        <v>0.50024999999999997</v>
      </c>
    </row>
    <row r="80" spans="5:32" ht="15.75" thickBot="1" x14ac:dyDescent="0.3">
      <c r="E80" s="42">
        <v>3.25</v>
      </c>
      <c r="F80" s="38">
        <v>1.25</v>
      </c>
      <c r="G80" t="str">
        <f t="shared" si="1"/>
        <v>3.25,1.25</v>
      </c>
      <c r="H80" s="9">
        <f>0.544*1.15</f>
        <v>0.62560000000000004</v>
      </c>
    </row>
    <row r="81" spans="5:8" ht="15.75" thickBot="1" x14ac:dyDescent="0.3">
      <c r="E81" s="42">
        <v>3.25</v>
      </c>
      <c r="F81" s="38">
        <v>1.5</v>
      </c>
      <c r="G81" t="str">
        <f t="shared" si="1"/>
        <v>3.25,1.5</v>
      </c>
      <c r="H81" s="9">
        <f>0.653*1.15</f>
        <v>0.75095000000000001</v>
      </c>
    </row>
    <row r="82" spans="5:8" ht="15.75" thickBot="1" x14ac:dyDescent="0.3">
      <c r="E82" s="42">
        <v>3.25</v>
      </c>
      <c r="F82" s="39">
        <v>2</v>
      </c>
      <c r="G82" t="str">
        <f t="shared" si="1"/>
        <v>3.25,2</v>
      </c>
      <c r="H82" s="13">
        <f>0.87*1.15</f>
        <v>1.0004999999999999</v>
      </c>
    </row>
    <row r="83" spans="5:8" ht="15.75" thickBot="1" x14ac:dyDescent="0.3">
      <c r="E83" s="41">
        <v>3.375</v>
      </c>
      <c r="F83" s="38">
        <v>1</v>
      </c>
      <c r="G83" t="str">
        <f t="shared" si="1"/>
        <v>3.375,1</v>
      </c>
      <c r="H83" s="19">
        <f>0.452*1.15</f>
        <v>0.51979999999999993</v>
      </c>
    </row>
    <row r="84" spans="5:8" ht="15.75" thickBot="1" x14ac:dyDescent="0.3">
      <c r="E84" s="41">
        <v>3.375</v>
      </c>
      <c r="F84" s="38">
        <v>1.25</v>
      </c>
      <c r="G84" t="str">
        <f t="shared" si="1"/>
        <v>3.375,1.25</v>
      </c>
      <c r="H84" s="10">
        <f>0.565*1.15</f>
        <v>0.64974999999999994</v>
      </c>
    </row>
    <row r="85" spans="5:8" ht="15.75" thickBot="1" x14ac:dyDescent="0.3">
      <c r="E85" s="41">
        <v>3.375</v>
      </c>
      <c r="F85" s="38">
        <v>1.5</v>
      </c>
      <c r="G85" t="str">
        <f t="shared" si="1"/>
        <v>3.375,1.5</v>
      </c>
      <c r="H85" s="10">
        <f>0.678*1.15</f>
        <v>0.77969999999999995</v>
      </c>
    </row>
    <row r="86" spans="5:8" ht="15.75" thickBot="1" x14ac:dyDescent="0.3">
      <c r="E86" s="41">
        <v>3.375</v>
      </c>
      <c r="F86" s="39">
        <v>2</v>
      </c>
      <c r="G86" t="str">
        <f t="shared" si="1"/>
        <v>3.375,2</v>
      </c>
      <c r="H86" s="14">
        <f>0.904*1.15</f>
        <v>1.0395999999999999</v>
      </c>
    </row>
    <row r="87" spans="5:8" ht="15.75" thickBot="1" x14ac:dyDescent="0.3">
      <c r="E87" s="42">
        <v>3.5</v>
      </c>
      <c r="F87" s="38">
        <v>1</v>
      </c>
      <c r="G87" t="str">
        <f t="shared" si="1"/>
        <v>3.5,1</v>
      </c>
      <c r="H87" s="18">
        <f>0.469*1.15</f>
        <v>0.53934999999999989</v>
      </c>
    </row>
    <row r="88" spans="5:8" ht="15.75" thickBot="1" x14ac:dyDescent="0.3">
      <c r="E88" s="42">
        <v>3.5</v>
      </c>
      <c r="F88" s="38">
        <v>1.25</v>
      </c>
      <c r="G88" t="str">
        <f t="shared" si="1"/>
        <v>3.5,1.25</v>
      </c>
      <c r="H88" s="9">
        <f>0.586*1.15</f>
        <v>0.67389999999999994</v>
      </c>
    </row>
    <row r="89" spans="5:8" ht="15.75" thickBot="1" x14ac:dyDescent="0.3">
      <c r="E89" s="42">
        <v>3.5</v>
      </c>
      <c r="F89" s="38">
        <v>1.5</v>
      </c>
      <c r="G89" t="str">
        <f t="shared" si="1"/>
        <v>3.5,1.5</v>
      </c>
      <c r="H89" s="9">
        <f>0.703*1.15</f>
        <v>0.80844999999999989</v>
      </c>
    </row>
    <row r="90" spans="5:8" ht="15.75" thickBot="1" x14ac:dyDescent="0.3">
      <c r="E90" s="42">
        <v>3.5</v>
      </c>
      <c r="F90" s="39">
        <v>2</v>
      </c>
      <c r="G90" t="str">
        <f t="shared" si="1"/>
        <v>3.5,2</v>
      </c>
      <c r="H90" s="13">
        <f>0.937*1.15</f>
        <v>1.07755</v>
      </c>
    </row>
    <row r="91" spans="5:8" ht="15.75" thickBot="1" x14ac:dyDescent="0.3">
      <c r="E91" s="41">
        <v>3.625</v>
      </c>
      <c r="F91" s="38">
        <v>1</v>
      </c>
      <c r="G91" t="str">
        <f t="shared" si="1"/>
        <v>3.625,1</v>
      </c>
      <c r="H91" s="19">
        <f>0.485*1.15</f>
        <v>0.55774999999999997</v>
      </c>
    </row>
    <row r="92" spans="5:8" ht="15.75" thickBot="1" x14ac:dyDescent="0.3">
      <c r="E92" s="41">
        <v>3.625</v>
      </c>
      <c r="F92" s="38">
        <v>1.25</v>
      </c>
      <c r="G92" t="str">
        <f t="shared" si="1"/>
        <v>3.625,1.25</v>
      </c>
      <c r="H92" s="10">
        <f>0.607*1.15</f>
        <v>0.69804999999999995</v>
      </c>
    </row>
    <row r="93" spans="5:8" ht="15.75" thickBot="1" x14ac:dyDescent="0.3">
      <c r="E93" s="41">
        <v>3.625</v>
      </c>
      <c r="F93" s="38">
        <v>1.5</v>
      </c>
      <c r="G93" t="str">
        <f t="shared" si="1"/>
        <v>3.625,1.5</v>
      </c>
      <c r="H93" s="10">
        <f>0.728*1.15</f>
        <v>0.83719999999999994</v>
      </c>
    </row>
    <row r="94" spans="5:8" ht="15.75" thickBot="1" x14ac:dyDescent="0.3">
      <c r="E94" s="41">
        <v>3.625</v>
      </c>
      <c r="F94" s="39">
        <v>2</v>
      </c>
      <c r="G94" t="str">
        <f t="shared" si="1"/>
        <v>3.625,2</v>
      </c>
      <c r="H94" s="14">
        <f>0.971*1.15</f>
        <v>1.1166499999999999</v>
      </c>
    </row>
    <row r="95" spans="5:8" ht="15.75" thickBot="1" x14ac:dyDescent="0.3">
      <c r="E95" s="42">
        <v>3.75</v>
      </c>
      <c r="F95" s="38">
        <v>1</v>
      </c>
      <c r="G95" t="str">
        <f t="shared" si="1"/>
        <v>3.75,1</v>
      </c>
      <c r="H95" s="18">
        <f>0.502*1.15</f>
        <v>0.57729999999999992</v>
      </c>
    </row>
    <row r="96" spans="5:8" ht="15.75" thickBot="1" x14ac:dyDescent="0.3">
      <c r="E96" s="42">
        <v>3.75</v>
      </c>
      <c r="F96" s="38">
        <v>1.25</v>
      </c>
      <c r="G96" t="str">
        <f t="shared" si="1"/>
        <v>3.75,1.25</v>
      </c>
      <c r="H96" s="9">
        <f>0.628*1.15</f>
        <v>0.72219999999999995</v>
      </c>
    </row>
    <row r="97" spans="5:8" ht="15.75" thickBot="1" x14ac:dyDescent="0.3">
      <c r="E97" s="42">
        <v>3.75</v>
      </c>
      <c r="F97" s="38">
        <v>1.5</v>
      </c>
      <c r="G97" t="str">
        <f t="shared" si="1"/>
        <v>3.75,1.5</v>
      </c>
      <c r="H97" s="9">
        <f>0.753*1.15</f>
        <v>0.86594999999999989</v>
      </c>
    </row>
    <row r="98" spans="5:8" ht="15.75" thickBot="1" x14ac:dyDescent="0.3">
      <c r="E98" s="42">
        <v>3.75</v>
      </c>
      <c r="F98" s="39">
        <v>2</v>
      </c>
      <c r="G98" t="str">
        <f t="shared" si="1"/>
        <v>3.75,2</v>
      </c>
      <c r="H98" s="13">
        <f>1.004*1.15</f>
        <v>1.1545999999999998</v>
      </c>
    </row>
    <row r="99" spans="5:8" ht="15.75" thickBot="1" x14ac:dyDescent="0.3">
      <c r="E99" s="41">
        <v>3.875</v>
      </c>
      <c r="F99" s="38">
        <v>1</v>
      </c>
      <c r="G99" t="str">
        <f t="shared" si="1"/>
        <v>3.875,1</v>
      </c>
      <c r="H99" s="19">
        <f>0.519*1.15</f>
        <v>0.59684999999999999</v>
      </c>
    </row>
    <row r="100" spans="5:8" ht="15.75" thickBot="1" x14ac:dyDescent="0.3">
      <c r="E100" s="41">
        <v>3.875</v>
      </c>
      <c r="F100" s="38">
        <v>1.25</v>
      </c>
      <c r="G100" t="str">
        <f t="shared" si="1"/>
        <v>3.875,1.25</v>
      </c>
      <c r="H100" s="10">
        <f>0.649*1.15</f>
        <v>0.74634999999999996</v>
      </c>
    </row>
    <row r="101" spans="5:8" ht="15.75" thickBot="1" x14ac:dyDescent="0.3">
      <c r="E101" s="41">
        <v>3.875</v>
      </c>
      <c r="F101" s="38">
        <v>1.5</v>
      </c>
      <c r="G101" t="str">
        <f t="shared" si="1"/>
        <v>3.875,1.5</v>
      </c>
      <c r="H101" s="10">
        <f>0.778*1.15</f>
        <v>0.89469999999999994</v>
      </c>
    </row>
    <row r="102" spans="5:8" ht="15.75" thickBot="1" x14ac:dyDescent="0.3">
      <c r="E102" s="41">
        <v>3.875</v>
      </c>
      <c r="F102" s="39">
        <v>2</v>
      </c>
      <c r="G102" t="str">
        <f t="shared" si="1"/>
        <v>3.875,2</v>
      </c>
      <c r="H102" s="14">
        <f>1.038*1.15</f>
        <v>1.1937</v>
      </c>
    </row>
    <row r="103" spans="5:8" ht="15.75" thickBot="1" x14ac:dyDescent="0.3">
      <c r="E103" s="42">
        <v>4</v>
      </c>
      <c r="F103" s="38">
        <v>1</v>
      </c>
      <c r="G103" t="str">
        <f t="shared" si="1"/>
        <v>4,1</v>
      </c>
      <c r="H103" s="18">
        <f>0.529*1.15</f>
        <v>0.60834999999999995</v>
      </c>
    </row>
    <row r="104" spans="5:8" ht="15.75" thickBot="1" x14ac:dyDescent="0.3">
      <c r="E104" s="42">
        <v>4</v>
      </c>
      <c r="F104" s="38">
        <v>1.25</v>
      </c>
      <c r="G104" t="str">
        <f t="shared" si="1"/>
        <v>4,1.25</v>
      </c>
      <c r="H104" s="9">
        <f>0.661*1.15</f>
        <v>0.76014999999999999</v>
      </c>
    </row>
    <row r="105" spans="5:8" ht="15.75" thickBot="1" x14ac:dyDescent="0.3">
      <c r="E105" s="42">
        <v>4</v>
      </c>
      <c r="F105" s="38">
        <v>1.5</v>
      </c>
      <c r="G105" t="str">
        <f t="shared" si="1"/>
        <v>4,1.5</v>
      </c>
      <c r="H105" s="9">
        <f>0.793*1.15</f>
        <v>0.91194999999999993</v>
      </c>
    </row>
    <row r="106" spans="5:8" ht="15.75" thickBot="1" x14ac:dyDescent="0.3">
      <c r="E106" s="42">
        <v>4</v>
      </c>
      <c r="F106" s="39">
        <v>2</v>
      </c>
      <c r="G106" t="str">
        <f t="shared" si="1"/>
        <v>4,2</v>
      </c>
      <c r="H106" s="13">
        <f>1.058*1.15</f>
        <v>1.2166999999999999</v>
      </c>
    </row>
    <row r="107" spans="5:8" ht="15.75" thickBot="1" x14ac:dyDescent="0.3">
      <c r="E107" s="41">
        <v>4.25</v>
      </c>
      <c r="F107" s="38">
        <v>1</v>
      </c>
      <c r="G107" t="str">
        <f t="shared" si="1"/>
        <v>4.25,1</v>
      </c>
      <c r="H107" s="19">
        <f>0.55*1.15</f>
        <v>0.63249999999999995</v>
      </c>
    </row>
    <row r="108" spans="5:8" ht="15.75" thickBot="1" x14ac:dyDescent="0.3">
      <c r="E108" s="41">
        <v>4.25</v>
      </c>
      <c r="F108" s="38">
        <v>1.25</v>
      </c>
      <c r="G108" t="str">
        <f t="shared" si="1"/>
        <v>4.25,1.25</v>
      </c>
      <c r="H108" s="10">
        <f>0.687*1.15</f>
        <v>0.79005000000000003</v>
      </c>
    </row>
    <row r="109" spans="5:8" ht="15.75" thickBot="1" x14ac:dyDescent="0.3">
      <c r="E109" s="41">
        <v>4.25</v>
      </c>
      <c r="F109" s="38">
        <v>1.5</v>
      </c>
      <c r="G109" t="str">
        <f t="shared" si="1"/>
        <v>4.25,1.5</v>
      </c>
      <c r="H109" s="10">
        <f>0.825*1.15</f>
        <v>0.94874999999999987</v>
      </c>
    </row>
    <row r="110" spans="5:8" ht="15.75" thickBot="1" x14ac:dyDescent="0.3">
      <c r="E110" s="41">
        <v>4.25</v>
      </c>
      <c r="F110" s="39">
        <v>2</v>
      </c>
      <c r="G110" t="str">
        <f t="shared" si="1"/>
        <v>4.25,2</v>
      </c>
      <c r="H110" s="14">
        <f>1.1*1.15</f>
        <v>1.2649999999999999</v>
      </c>
    </row>
    <row r="111" spans="5:8" ht="15.75" thickBot="1" x14ac:dyDescent="0.3">
      <c r="E111" s="43">
        <v>4.5</v>
      </c>
      <c r="F111" s="38">
        <v>1</v>
      </c>
      <c r="G111" t="str">
        <f t="shared" si="1"/>
        <v>4.5,1</v>
      </c>
      <c r="H111" s="20">
        <f>0.571*1.15</f>
        <v>0.65664999999999984</v>
      </c>
    </row>
    <row r="112" spans="5:8" ht="15.75" thickBot="1" x14ac:dyDescent="0.3">
      <c r="E112" s="43">
        <v>4.5</v>
      </c>
      <c r="F112" s="38">
        <v>1.25</v>
      </c>
      <c r="G112" t="str">
        <f t="shared" si="1"/>
        <v>4.5,1.25</v>
      </c>
      <c r="H112" s="15">
        <f>0.714*1.15</f>
        <v>0.82109999999999994</v>
      </c>
    </row>
    <row r="113" spans="5:15" ht="15.75" thickBot="1" x14ac:dyDescent="0.3">
      <c r="E113" s="43">
        <v>4.5</v>
      </c>
      <c r="F113" s="38">
        <v>1.5</v>
      </c>
      <c r="G113" t="str">
        <f t="shared" si="1"/>
        <v>4.5,1.5</v>
      </c>
      <c r="H113" s="15">
        <f>0.857*1.15</f>
        <v>0.98554999999999993</v>
      </c>
    </row>
    <row r="114" spans="5:15" ht="15.75" thickBot="1" x14ac:dyDescent="0.3">
      <c r="E114" s="43">
        <v>4.5</v>
      </c>
      <c r="F114" s="39">
        <v>2</v>
      </c>
      <c r="G114" t="str">
        <f t="shared" si="1"/>
        <v>4.5,2</v>
      </c>
      <c r="H114" s="16">
        <f>1.143*1.15</f>
        <v>1.3144499999999999</v>
      </c>
      <c r="K114" s="148" t="s">
        <v>2</v>
      </c>
      <c r="L114" s="149"/>
      <c r="M114" s="149"/>
      <c r="N114" s="149"/>
      <c r="O114" s="150"/>
    </row>
    <row r="115" spans="5:15" ht="15.75" thickBot="1" x14ac:dyDescent="0.3">
      <c r="E115" s="40">
        <v>5</v>
      </c>
      <c r="F115" s="38">
        <v>1</v>
      </c>
      <c r="G115" t="str">
        <f t="shared" si="1"/>
        <v>5,1</v>
      </c>
      <c r="H115" s="26">
        <f>0.614*1.15</f>
        <v>0.70609999999999995</v>
      </c>
      <c r="K115" s="3" t="s">
        <v>3</v>
      </c>
      <c r="L115" s="4" t="s">
        <v>4</v>
      </c>
      <c r="M115" s="4" t="s">
        <v>5</v>
      </c>
      <c r="N115" s="4" t="s">
        <v>6</v>
      </c>
      <c r="O115" s="5" t="s">
        <v>7</v>
      </c>
    </row>
    <row r="116" spans="5:15" ht="15.75" thickBot="1" x14ac:dyDescent="0.3">
      <c r="E116" s="40">
        <v>5</v>
      </c>
      <c r="F116" s="38">
        <v>1.25</v>
      </c>
      <c r="G116" t="str">
        <f t="shared" si="1"/>
        <v>5,1.25</v>
      </c>
      <c r="H116" s="27">
        <f>0.768*1.15</f>
        <v>0.88319999999999999</v>
      </c>
      <c r="K116" s="25">
        <v>5</v>
      </c>
      <c r="L116" s="26">
        <f>0.614*1.15</f>
        <v>0.70609999999999995</v>
      </c>
      <c r="M116" s="27">
        <f>0.768*1.15</f>
        <v>0.88319999999999999</v>
      </c>
      <c r="N116" s="27">
        <f>0.922*1.15</f>
        <v>1.0603</v>
      </c>
      <c r="O116" s="28">
        <f>1.229*1.15</f>
        <v>1.4133500000000001</v>
      </c>
    </row>
    <row r="117" spans="5:15" ht="15.75" thickBot="1" x14ac:dyDescent="0.3">
      <c r="E117" s="40">
        <v>5</v>
      </c>
      <c r="F117" s="38">
        <v>1.5</v>
      </c>
      <c r="G117" t="str">
        <f t="shared" si="1"/>
        <v>5,1.5</v>
      </c>
      <c r="H117" s="27">
        <f>0.922*1.15</f>
        <v>1.0603</v>
      </c>
      <c r="K117" s="23">
        <v>5.25</v>
      </c>
      <c r="L117" s="19">
        <f>0.636*1.15</f>
        <v>0.73139999999999994</v>
      </c>
      <c r="M117" s="10">
        <f>0.795*1.15</f>
        <v>0.91425000000000001</v>
      </c>
      <c r="N117" s="10">
        <f>0.954*1.15</f>
        <v>1.0971</v>
      </c>
      <c r="O117" s="14">
        <f>1.271*1.15</f>
        <v>1.4616499999999997</v>
      </c>
    </row>
    <row r="118" spans="5:15" ht="15.75" thickBot="1" x14ac:dyDescent="0.3">
      <c r="E118" s="40">
        <v>5</v>
      </c>
      <c r="F118" s="39">
        <v>2</v>
      </c>
      <c r="G118" t="str">
        <f t="shared" si="1"/>
        <v>5,2</v>
      </c>
      <c r="H118" s="28">
        <f>1.229*1.15</f>
        <v>1.4133500000000001</v>
      </c>
      <c r="K118" s="22">
        <v>5.5</v>
      </c>
      <c r="L118" s="18">
        <f>0.657*1.15</f>
        <v>0.75554999999999994</v>
      </c>
      <c r="M118" s="9">
        <f>0.822*1.15</f>
        <v>0.94529999999999992</v>
      </c>
      <c r="N118" s="9">
        <f>0.986*1.15</f>
        <v>1.1338999999999999</v>
      </c>
      <c r="O118" s="13">
        <f>1.315*1.15</f>
        <v>1.5122499999999999</v>
      </c>
    </row>
    <row r="119" spans="5:15" ht="15.75" thickBot="1" x14ac:dyDescent="0.3">
      <c r="E119" s="41">
        <v>5.25</v>
      </c>
      <c r="F119" s="38">
        <v>1</v>
      </c>
      <c r="G119" t="str">
        <f t="shared" si="1"/>
        <v>5.25,1</v>
      </c>
      <c r="H119" s="19">
        <f>0.636*1.15</f>
        <v>0.73139999999999994</v>
      </c>
      <c r="K119" s="23">
        <v>5.75</v>
      </c>
      <c r="L119" s="19">
        <f>0.679*1.15</f>
        <v>0.78085000000000004</v>
      </c>
      <c r="M119" s="10">
        <f>0.848*1.15</f>
        <v>0.97519999999999984</v>
      </c>
      <c r="N119" s="10">
        <f>1.018*1.15</f>
        <v>1.1706999999999999</v>
      </c>
      <c r="O119" s="14">
        <f>1.357*1.15</f>
        <v>1.5605499999999999</v>
      </c>
    </row>
    <row r="120" spans="5:15" ht="15.75" thickBot="1" x14ac:dyDescent="0.3">
      <c r="E120" s="41">
        <v>5.25</v>
      </c>
      <c r="F120" s="38">
        <v>1.25</v>
      </c>
      <c r="G120" t="str">
        <f t="shared" si="1"/>
        <v>5.25,1.25</v>
      </c>
      <c r="H120" s="10">
        <f>0.795*1.15</f>
        <v>0.91425000000000001</v>
      </c>
      <c r="K120" s="22">
        <v>6</v>
      </c>
      <c r="L120" s="18">
        <f>0.7*1.15</f>
        <v>0.80499999999999994</v>
      </c>
      <c r="M120" s="9">
        <f>0.875*1.15</f>
        <v>1.0062499999999999</v>
      </c>
      <c r="N120" s="9">
        <f>1.05*1.15</f>
        <v>1.2075</v>
      </c>
      <c r="O120" s="13">
        <f>1.4*1.15</f>
        <v>1.6099999999999999</v>
      </c>
    </row>
    <row r="121" spans="5:15" ht="15.75" thickBot="1" x14ac:dyDescent="0.3">
      <c r="E121" s="41">
        <v>5.25</v>
      </c>
      <c r="F121" s="38">
        <v>1.5</v>
      </c>
      <c r="G121" t="str">
        <f t="shared" si="1"/>
        <v>5.25,1.5</v>
      </c>
      <c r="H121" s="10">
        <f>0.954*1.15</f>
        <v>1.0971</v>
      </c>
      <c r="K121" s="23">
        <v>6.25</v>
      </c>
      <c r="L121" s="19">
        <f>0.722*1.15</f>
        <v>0.83029999999999993</v>
      </c>
      <c r="M121" s="10">
        <f>0.903*1.15</f>
        <v>1.0384499999999999</v>
      </c>
      <c r="N121" s="10">
        <f>1.083*1.15</f>
        <v>1.2454499999999999</v>
      </c>
      <c r="O121" s="14">
        <f>1.444*1.15</f>
        <v>1.6605999999999999</v>
      </c>
    </row>
    <row r="122" spans="5:15" ht="15.75" thickBot="1" x14ac:dyDescent="0.3">
      <c r="E122" s="41">
        <v>5.25</v>
      </c>
      <c r="F122" s="39">
        <v>2</v>
      </c>
      <c r="G122" t="str">
        <f t="shared" si="1"/>
        <v>5.25,2</v>
      </c>
      <c r="H122" s="14">
        <f>1.271*1.15</f>
        <v>1.4616499999999997</v>
      </c>
      <c r="K122" s="22">
        <v>6.5</v>
      </c>
      <c r="L122" s="18">
        <f>0.743*1.15</f>
        <v>0.85444999999999993</v>
      </c>
      <c r="M122" s="9">
        <f>0.929*1.15</f>
        <v>1.0683499999999999</v>
      </c>
      <c r="N122" s="9">
        <f>1.114*1.15</f>
        <v>1.2811000000000001</v>
      </c>
      <c r="O122" s="13">
        <f>1.486*1.15</f>
        <v>1.7088999999999999</v>
      </c>
    </row>
    <row r="123" spans="5:15" ht="15.75" thickBot="1" x14ac:dyDescent="0.3">
      <c r="E123" s="42">
        <v>5.5</v>
      </c>
      <c r="F123" s="38">
        <v>1</v>
      </c>
      <c r="G123" t="str">
        <f t="shared" si="1"/>
        <v>5.5,1</v>
      </c>
      <c r="H123" s="18">
        <f>0.657*1.15</f>
        <v>0.75554999999999994</v>
      </c>
      <c r="K123" s="23">
        <v>6.75</v>
      </c>
      <c r="L123" s="19">
        <f>0.765*1.15</f>
        <v>0.87974999999999992</v>
      </c>
      <c r="M123" s="10">
        <f>0.956*1.15</f>
        <v>1.0993999999999999</v>
      </c>
      <c r="N123" s="10">
        <f>1.148*1.15</f>
        <v>1.3201999999999998</v>
      </c>
      <c r="O123" s="14">
        <f>1.53*1.15</f>
        <v>1.7594999999999998</v>
      </c>
    </row>
    <row r="124" spans="5:15" ht="15.75" thickBot="1" x14ac:dyDescent="0.3">
      <c r="E124" s="42">
        <v>5.5</v>
      </c>
      <c r="F124" s="38">
        <v>1.25</v>
      </c>
      <c r="G124" t="str">
        <f t="shared" si="1"/>
        <v>5.5,1.25</v>
      </c>
      <c r="H124" s="9">
        <f>0.822*1.15</f>
        <v>0.94529999999999992</v>
      </c>
      <c r="K124" s="22">
        <v>7</v>
      </c>
      <c r="L124" s="18">
        <f>0.787*1.15</f>
        <v>0.90505000000000002</v>
      </c>
      <c r="M124" s="9">
        <f>0.984*1.15</f>
        <v>1.1315999999999999</v>
      </c>
      <c r="N124" s="9">
        <f>1.181*1.15</f>
        <v>1.35815</v>
      </c>
      <c r="O124" s="13">
        <f>1.574*1.15</f>
        <v>1.8101</v>
      </c>
    </row>
    <row r="125" spans="5:15" ht="15.75" thickBot="1" x14ac:dyDescent="0.3">
      <c r="E125" s="42">
        <v>5.5</v>
      </c>
      <c r="F125" s="38">
        <v>1.5</v>
      </c>
      <c r="G125" t="str">
        <f t="shared" si="1"/>
        <v>5.5,1.5</v>
      </c>
      <c r="H125" s="9">
        <f>0.986*1.15</f>
        <v>1.1338999999999999</v>
      </c>
      <c r="K125" s="23">
        <v>7.25</v>
      </c>
      <c r="L125" s="19">
        <f>0.809*1.15</f>
        <v>0.93035000000000001</v>
      </c>
      <c r="M125" s="10">
        <f>1.011*1.15</f>
        <v>1.1626499999999997</v>
      </c>
      <c r="N125" s="10">
        <f>1.213*1.15</f>
        <v>1.3949499999999999</v>
      </c>
      <c r="O125" s="14">
        <f>1.617*1.15</f>
        <v>1.8595499999999998</v>
      </c>
    </row>
    <row r="126" spans="5:15" ht="15.75" thickBot="1" x14ac:dyDescent="0.3">
      <c r="E126" s="42">
        <v>5.5</v>
      </c>
      <c r="F126" s="39">
        <v>2</v>
      </c>
      <c r="G126" t="str">
        <f t="shared" si="1"/>
        <v>5.5,2</v>
      </c>
      <c r="H126" s="13">
        <f>1.315*1.15</f>
        <v>1.5122499999999999</v>
      </c>
      <c r="K126" s="22">
        <v>7.5</v>
      </c>
      <c r="L126" s="18">
        <f>0.829*1.15</f>
        <v>0.95334999999999992</v>
      </c>
      <c r="M126" s="9">
        <f>1.036*1.15</f>
        <v>1.1914</v>
      </c>
      <c r="N126" s="9">
        <f>1.243*1.15</f>
        <v>1.4294500000000001</v>
      </c>
      <c r="O126" s="13">
        <f>1.657*1.15</f>
        <v>1.9055499999999999</v>
      </c>
    </row>
    <row r="127" spans="5:15" ht="15.75" thickBot="1" x14ac:dyDescent="0.3">
      <c r="E127" s="41">
        <v>5.75</v>
      </c>
      <c r="F127" s="38">
        <v>1</v>
      </c>
      <c r="G127" t="str">
        <f t="shared" si="1"/>
        <v>5.75,1</v>
      </c>
      <c r="H127" s="19">
        <f>0.679*1.15</f>
        <v>0.78085000000000004</v>
      </c>
      <c r="K127" s="23">
        <v>7.75</v>
      </c>
      <c r="L127" s="19">
        <f>0.851*1.15</f>
        <v>0.97864999999999991</v>
      </c>
      <c r="M127" s="10">
        <f>1.063*1.15</f>
        <v>1.2224499999999998</v>
      </c>
      <c r="N127" s="10">
        <f>1.276*1.15</f>
        <v>1.4673999999999998</v>
      </c>
      <c r="O127" s="14">
        <f>1.701*1.15</f>
        <v>1.9561499999999998</v>
      </c>
    </row>
    <row r="128" spans="5:15" ht="15.75" thickBot="1" x14ac:dyDescent="0.3">
      <c r="E128" s="41">
        <v>5.75</v>
      </c>
      <c r="F128" s="38">
        <v>1.25</v>
      </c>
      <c r="G128" t="str">
        <f t="shared" si="1"/>
        <v>5.75,1.25</v>
      </c>
      <c r="H128" s="10">
        <f>0.848*1.15</f>
        <v>0.97519999999999984</v>
      </c>
      <c r="K128" s="22">
        <v>8</v>
      </c>
      <c r="L128" s="18">
        <f>0.872*1.15</f>
        <v>1.0027999999999999</v>
      </c>
      <c r="M128" s="9">
        <f>1.09*1.15</f>
        <v>1.2535000000000001</v>
      </c>
      <c r="N128" s="9">
        <f>1.309*1.15</f>
        <v>1.5053499999999997</v>
      </c>
      <c r="O128" s="13">
        <f>1.745*1.15</f>
        <v>2.0067499999999998</v>
      </c>
    </row>
    <row r="129" spans="5:15" ht="15.75" thickBot="1" x14ac:dyDescent="0.3">
      <c r="E129" s="41">
        <v>5.75</v>
      </c>
      <c r="F129" s="38">
        <v>1.5</v>
      </c>
      <c r="G129" t="str">
        <f t="shared" si="1"/>
        <v>5.75,1.5</v>
      </c>
      <c r="H129" s="10">
        <f>1.018*1.15</f>
        <v>1.1706999999999999</v>
      </c>
      <c r="K129" s="23">
        <v>8.25</v>
      </c>
      <c r="L129" s="19">
        <f>0.888*1.15</f>
        <v>1.0211999999999999</v>
      </c>
      <c r="M129" s="10">
        <f>1.11*1.15</f>
        <v>1.2765</v>
      </c>
      <c r="N129" s="10">
        <f>1.332*1.15</f>
        <v>1.5318000000000001</v>
      </c>
      <c r="O129" s="14">
        <f>1.776*1.15</f>
        <v>2.0423999999999998</v>
      </c>
    </row>
    <row r="130" spans="5:15" ht="15.75" thickBot="1" x14ac:dyDescent="0.3">
      <c r="E130" s="41">
        <v>5.75</v>
      </c>
      <c r="F130" s="39">
        <v>2</v>
      </c>
      <c r="G130" t="str">
        <f t="shared" si="1"/>
        <v>5.75,2</v>
      </c>
      <c r="H130" s="14">
        <f>1.357*1.15</f>
        <v>1.5605499999999999</v>
      </c>
      <c r="K130" s="22">
        <v>8.5</v>
      </c>
      <c r="L130" s="18">
        <f>0.915*1.15</f>
        <v>1.0522499999999999</v>
      </c>
      <c r="M130" s="9">
        <f>1.144*1.15</f>
        <v>1.3155999999999999</v>
      </c>
      <c r="N130" s="9">
        <f>1.372*1.15</f>
        <v>1.5778000000000001</v>
      </c>
      <c r="O130" s="13">
        <f>1.83*1.15</f>
        <v>2.1044999999999998</v>
      </c>
    </row>
    <row r="131" spans="5:15" ht="15.75" thickBot="1" x14ac:dyDescent="0.3">
      <c r="E131" s="42">
        <v>6</v>
      </c>
      <c r="F131" s="38">
        <v>1</v>
      </c>
      <c r="G131" t="str">
        <f t="shared" si="1"/>
        <v>6,1</v>
      </c>
      <c r="H131" s="18">
        <f>0.7*1.15</f>
        <v>0.80499999999999994</v>
      </c>
      <c r="K131" s="23">
        <v>8.75</v>
      </c>
      <c r="L131" s="19">
        <f>0.936*1.15</f>
        <v>1.0764</v>
      </c>
      <c r="M131" s="10">
        <f>1.17*1.15</f>
        <v>1.3454999999999999</v>
      </c>
      <c r="N131" s="10">
        <f>1.404*1.15</f>
        <v>1.6145999999999998</v>
      </c>
      <c r="O131" s="14">
        <f>1.872*1.15</f>
        <v>2.1528</v>
      </c>
    </row>
    <row r="132" spans="5:15" ht="15.75" thickBot="1" x14ac:dyDescent="0.3">
      <c r="E132" s="42">
        <v>6</v>
      </c>
      <c r="F132" s="38">
        <v>1.25</v>
      </c>
      <c r="G132" t="str">
        <f t="shared" ref="G132:G182" si="2">CONCATENATE(E132,",",F132)</f>
        <v>6,1.25</v>
      </c>
      <c r="H132" s="9">
        <f>0.875*1.15</f>
        <v>1.0062499999999999</v>
      </c>
      <c r="K132" s="24">
        <v>9</v>
      </c>
      <c r="L132" s="20">
        <f>0.963*1.15</f>
        <v>1.1074499999999998</v>
      </c>
      <c r="M132" s="15">
        <f>1.203*1.15</f>
        <v>1.3834500000000001</v>
      </c>
      <c r="N132" s="15">
        <f>1.444*1.15</f>
        <v>1.6605999999999999</v>
      </c>
      <c r="O132" s="16">
        <f>1.925*1.15</f>
        <v>2.2137499999999997</v>
      </c>
    </row>
    <row r="133" spans="5:15" ht="15.75" thickBot="1" x14ac:dyDescent="0.3">
      <c r="E133" s="42">
        <v>6</v>
      </c>
      <c r="F133" s="38">
        <v>1.5</v>
      </c>
      <c r="G133" t="str">
        <f t="shared" si="2"/>
        <v>6,1.5</v>
      </c>
      <c r="H133" s="9">
        <f>1.05*1.15</f>
        <v>1.2075</v>
      </c>
    </row>
    <row r="134" spans="5:15" ht="15.75" thickBot="1" x14ac:dyDescent="0.3">
      <c r="E134" s="42">
        <v>6</v>
      </c>
      <c r="F134" s="39">
        <v>2</v>
      </c>
      <c r="G134" t="str">
        <f t="shared" si="2"/>
        <v>6,2</v>
      </c>
      <c r="H134" s="13">
        <f>1.4*1.15</f>
        <v>1.6099999999999999</v>
      </c>
    </row>
    <row r="135" spans="5:15" ht="15.75" thickBot="1" x14ac:dyDescent="0.3">
      <c r="E135" s="41">
        <v>6.25</v>
      </c>
      <c r="F135" s="38">
        <v>1</v>
      </c>
      <c r="G135" t="str">
        <f t="shared" si="2"/>
        <v>6.25,1</v>
      </c>
      <c r="H135" s="19">
        <f>0.722*1.15</f>
        <v>0.83029999999999993</v>
      </c>
    </row>
    <row r="136" spans="5:15" ht="15.75" thickBot="1" x14ac:dyDescent="0.3">
      <c r="E136" s="41">
        <v>6.25</v>
      </c>
      <c r="F136" s="38">
        <v>1.25</v>
      </c>
      <c r="G136" t="str">
        <f t="shared" si="2"/>
        <v>6.25,1.25</v>
      </c>
      <c r="H136" s="10">
        <f>0.903*1.15</f>
        <v>1.0384499999999999</v>
      </c>
    </row>
    <row r="137" spans="5:15" ht="15.75" thickBot="1" x14ac:dyDescent="0.3">
      <c r="E137" s="41">
        <v>6.25</v>
      </c>
      <c r="F137" s="38">
        <v>1.5</v>
      </c>
      <c r="G137" t="str">
        <f t="shared" si="2"/>
        <v>6.25,1.5</v>
      </c>
      <c r="H137" s="10">
        <f>1.083*1.15</f>
        <v>1.2454499999999999</v>
      </c>
    </row>
    <row r="138" spans="5:15" ht="15.75" thickBot="1" x14ac:dyDescent="0.3">
      <c r="E138" s="41">
        <v>6.25</v>
      </c>
      <c r="F138" s="39">
        <v>2</v>
      </c>
      <c r="G138" t="str">
        <f t="shared" si="2"/>
        <v>6.25,2</v>
      </c>
      <c r="H138" s="14">
        <f>1.444*1.15</f>
        <v>1.6605999999999999</v>
      </c>
    </row>
    <row r="139" spans="5:15" ht="15.75" thickBot="1" x14ac:dyDescent="0.3">
      <c r="E139" s="42">
        <v>6.5</v>
      </c>
      <c r="F139" s="38">
        <v>1</v>
      </c>
      <c r="G139" t="str">
        <f t="shared" si="2"/>
        <v>6.5,1</v>
      </c>
      <c r="H139" s="18">
        <f>0.743*1.15</f>
        <v>0.85444999999999993</v>
      </c>
    </row>
    <row r="140" spans="5:15" ht="15.75" thickBot="1" x14ac:dyDescent="0.3">
      <c r="E140" s="42">
        <v>6.5</v>
      </c>
      <c r="F140" s="38">
        <v>1.25</v>
      </c>
      <c r="G140" t="str">
        <f t="shared" si="2"/>
        <v>6.5,1.25</v>
      </c>
      <c r="H140" s="9">
        <f>0.929*1.15</f>
        <v>1.0683499999999999</v>
      </c>
    </row>
    <row r="141" spans="5:15" ht="15.75" thickBot="1" x14ac:dyDescent="0.3">
      <c r="E141" s="42">
        <v>6.5</v>
      </c>
      <c r="F141" s="38">
        <v>1.5</v>
      </c>
      <c r="G141" t="str">
        <f t="shared" si="2"/>
        <v>6.5,1.5</v>
      </c>
      <c r="H141" s="9">
        <f>1.114*1.15</f>
        <v>1.2811000000000001</v>
      </c>
    </row>
    <row r="142" spans="5:15" ht="15.75" thickBot="1" x14ac:dyDescent="0.3">
      <c r="E142" s="42">
        <v>6.5</v>
      </c>
      <c r="F142" s="39">
        <v>2</v>
      </c>
      <c r="G142" t="str">
        <f t="shared" si="2"/>
        <v>6.5,2</v>
      </c>
      <c r="H142" s="13">
        <f>1.486*1.15</f>
        <v>1.7088999999999999</v>
      </c>
    </row>
    <row r="143" spans="5:15" ht="15.75" thickBot="1" x14ac:dyDescent="0.3">
      <c r="E143" s="41">
        <v>6.75</v>
      </c>
      <c r="F143" s="38">
        <v>1</v>
      </c>
      <c r="G143" t="str">
        <f t="shared" si="2"/>
        <v>6.75,1</v>
      </c>
      <c r="H143" s="19">
        <f>0.765*1.15</f>
        <v>0.87974999999999992</v>
      </c>
    </row>
    <row r="144" spans="5:15" ht="15.75" thickBot="1" x14ac:dyDescent="0.3">
      <c r="E144" s="41">
        <v>6.75</v>
      </c>
      <c r="F144" s="38">
        <v>1.25</v>
      </c>
      <c r="G144" t="str">
        <f t="shared" si="2"/>
        <v>6.75,1.25</v>
      </c>
      <c r="H144" s="10">
        <f>0.956*1.15</f>
        <v>1.0993999999999999</v>
      </c>
    </row>
    <row r="145" spans="5:8" ht="15.75" thickBot="1" x14ac:dyDescent="0.3">
      <c r="E145" s="41">
        <v>6.75</v>
      </c>
      <c r="F145" s="38">
        <v>1.5</v>
      </c>
      <c r="G145" t="str">
        <f t="shared" si="2"/>
        <v>6.75,1.5</v>
      </c>
      <c r="H145" s="10">
        <f>1.148*1.15</f>
        <v>1.3201999999999998</v>
      </c>
    </row>
    <row r="146" spans="5:8" ht="15.75" thickBot="1" x14ac:dyDescent="0.3">
      <c r="E146" s="41">
        <v>6.75</v>
      </c>
      <c r="F146" s="39">
        <v>2</v>
      </c>
      <c r="G146" t="str">
        <f t="shared" si="2"/>
        <v>6.75,2</v>
      </c>
      <c r="H146" s="14">
        <f>1.53*1.15</f>
        <v>1.7594999999999998</v>
      </c>
    </row>
    <row r="147" spans="5:8" ht="15.75" thickBot="1" x14ac:dyDescent="0.3">
      <c r="E147" s="42">
        <v>7</v>
      </c>
      <c r="F147" s="38">
        <v>1</v>
      </c>
      <c r="G147" t="str">
        <f t="shared" si="2"/>
        <v>7,1</v>
      </c>
      <c r="H147" s="18">
        <f>0.787*1.15</f>
        <v>0.90505000000000002</v>
      </c>
    </row>
    <row r="148" spans="5:8" ht="15.75" thickBot="1" x14ac:dyDescent="0.3">
      <c r="E148" s="42">
        <v>7</v>
      </c>
      <c r="F148" s="38">
        <v>1.25</v>
      </c>
      <c r="G148" t="str">
        <f t="shared" si="2"/>
        <v>7,1.25</v>
      </c>
      <c r="H148" s="9">
        <f>0.984*1.15</f>
        <v>1.1315999999999999</v>
      </c>
    </row>
    <row r="149" spans="5:8" ht="15.75" thickBot="1" x14ac:dyDescent="0.3">
      <c r="E149" s="42">
        <v>7</v>
      </c>
      <c r="F149" s="38">
        <v>1.5</v>
      </c>
      <c r="G149" t="str">
        <f t="shared" si="2"/>
        <v>7,1.5</v>
      </c>
      <c r="H149" s="9">
        <f>1.181*1.15</f>
        <v>1.35815</v>
      </c>
    </row>
    <row r="150" spans="5:8" ht="15.75" thickBot="1" x14ac:dyDescent="0.3">
      <c r="E150" s="42">
        <v>7</v>
      </c>
      <c r="F150" s="39">
        <v>2</v>
      </c>
      <c r="G150" t="str">
        <f t="shared" si="2"/>
        <v>7,2</v>
      </c>
      <c r="H150" s="13">
        <f>1.574*1.15</f>
        <v>1.8101</v>
      </c>
    </row>
    <row r="151" spans="5:8" ht="15.75" thickBot="1" x14ac:dyDescent="0.3">
      <c r="E151" s="41">
        <v>7.25</v>
      </c>
      <c r="F151" s="38">
        <v>1</v>
      </c>
      <c r="G151" t="str">
        <f t="shared" si="2"/>
        <v>7.25,1</v>
      </c>
      <c r="H151" s="19">
        <f>0.809*1.15</f>
        <v>0.93035000000000001</v>
      </c>
    </row>
    <row r="152" spans="5:8" ht="15.75" thickBot="1" x14ac:dyDescent="0.3">
      <c r="E152" s="41">
        <v>7.25</v>
      </c>
      <c r="F152" s="38">
        <v>1.25</v>
      </c>
      <c r="G152" t="str">
        <f t="shared" si="2"/>
        <v>7.25,1.25</v>
      </c>
      <c r="H152" s="10">
        <f>1.011*1.15</f>
        <v>1.1626499999999997</v>
      </c>
    </row>
    <row r="153" spans="5:8" ht="15.75" thickBot="1" x14ac:dyDescent="0.3">
      <c r="E153" s="41">
        <v>7.25</v>
      </c>
      <c r="F153" s="38">
        <v>1.5</v>
      </c>
      <c r="G153" t="str">
        <f t="shared" si="2"/>
        <v>7.25,1.5</v>
      </c>
      <c r="H153" s="10">
        <f>1.213*1.15</f>
        <v>1.3949499999999999</v>
      </c>
    </row>
    <row r="154" spans="5:8" ht="15.75" thickBot="1" x14ac:dyDescent="0.3">
      <c r="E154" s="41">
        <v>7.25</v>
      </c>
      <c r="F154" s="39">
        <v>2</v>
      </c>
      <c r="G154" t="str">
        <f t="shared" si="2"/>
        <v>7.25,2</v>
      </c>
      <c r="H154" s="14">
        <f>1.617*1.15</f>
        <v>1.8595499999999998</v>
      </c>
    </row>
    <row r="155" spans="5:8" ht="15.75" thickBot="1" x14ac:dyDescent="0.3">
      <c r="E155" s="42">
        <v>7.5</v>
      </c>
      <c r="F155" s="38">
        <v>1</v>
      </c>
      <c r="G155" t="str">
        <f t="shared" si="2"/>
        <v>7.5,1</v>
      </c>
      <c r="H155" s="18">
        <f>0.829*1.15</f>
        <v>0.95334999999999992</v>
      </c>
    </row>
    <row r="156" spans="5:8" ht="15.75" thickBot="1" x14ac:dyDescent="0.3">
      <c r="E156" s="42">
        <v>7.5</v>
      </c>
      <c r="F156" s="38">
        <v>1.25</v>
      </c>
      <c r="G156" t="str">
        <f t="shared" si="2"/>
        <v>7.5,1.25</v>
      </c>
      <c r="H156" s="9">
        <f>1.036*1.15</f>
        <v>1.1914</v>
      </c>
    </row>
    <row r="157" spans="5:8" ht="15.75" thickBot="1" x14ac:dyDescent="0.3">
      <c r="E157" s="42">
        <v>7.5</v>
      </c>
      <c r="F157" s="38">
        <v>1.5</v>
      </c>
      <c r="G157" t="str">
        <f t="shared" si="2"/>
        <v>7.5,1.5</v>
      </c>
      <c r="H157" s="9">
        <f>1.243*1.15</f>
        <v>1.4294500000000001</v>
      </c>
    </row>
    <row r="158" spans="5:8" ht="15.75" thickBot="1" x14ac:dyDescent="0.3">
      <c r="E158" s="42">
        <v>7.5</v>
      </c>
      <c r="F158" s="39">
        <v>2</v>
      </c>
      <c r="G158" t="str">
        <f t="shared" si="2"/>
        <v>7.5,2</v>
      </c>
      <c r="H158" s="13">
        <f>1.657*1.15</f>
        <v>1.9055499999999999</v>
      </c>
    </row>
    <row r="159" spans="5:8" ht="15.75" thickBot="1" x14ac:dyDescent="0.3">
      <c r="E159" s="41">
        <v>7.75</v>
      </c>
      <c r="F159" s="38">
        <v>1</v>
      </c>
      <c r="G159" t="str">
        <f t="shared" si="2"/>
        <v>7.75,1</v>
      </c>
      <c r="H159" s="19">
        <f>0.851*1.15</f>
        <v>0.97864999999999991</v>
      </c>
    </row>
    <row r="160" spans="5:8" ht="15.75" thickBot="1" x14ac:dyDescent="0.3">
      <c r="E160" s="41">
        <v>7.75</v>
      </c>
      <c r="F160" s="38">
        <v>1.25</v>
      </c>
      <c r="G160" t="str">
        <f t="shared" si="2"/>
        <v>7.75,1.25</v>
      </c>
      <c r="H160" s="10">
        <f>1.063*1.15</f>
        <v>1.2224499999999998</v>
      </c>
    </row>
    <row r="161" spans="5:8" ht="15.75" thickBot="1" x14ac:dyDescent="0.3">
      <c r="E161" s="41">
        <v>7.75</v>
      </c>
      <c r="F161" s="38">
        <v>1.5</v>
      </c>
      <c r="G161" t="str">
        <f t="shared" si="2"/>
        <v>7.75,1.5</v>
      </c>
      <c r="H161" s="10">
        <f>1.276*1.15</f>
        <v>1.4673999999999998</v>
      </c>
    </row>
    <row r="162" spans="5:8" ht="15.75" thickBot="1" x14ac:dyDescent="0.3">
      <c r="E162" s="41">
        <v>7.75</v>
      </c>
      <c r="F162" s="39">
        <v>2</v>
      </c>
      <c r="G162" t="str">
        <f t="shared" si="2"/>
        <v>7.75,2</v>
      </c>
      <c r="H162" s="14">
        <f>1.701*1.15</f>
        <v>1.9561499999999998</v>
      </c>
    </row>
    <row r="163" spans="5:8" ht="15.75" thickBot="1" x14ac:dyDescent="0.3">
      <c r="E163" s="42">
        <v>8</v>
      </c>
      <c r="F163" s="38">
        <v>1</v>
      </c>
      <c r="G163" t="str">
        <f t="shared" si="2"/>
        <v>8,1</v>
      </c>
      <c r="H163" s="18">
        <f>0.872*1.15</f>
        <v>1.0027999999999999</v>
      </c>
    </row>
    <row r="164" spans="5:8" ht="15.75" thickBot="1" x14ac:dyDescent="0.3">
      <c r="E164" s="42">
        <v>8</v>
      </c>
      <c r="F164" s="38">
        <v>1.25</v>
      </c>
      <c r="G164" t="str">
        <f t="shared" si="2"/>
        <v>8,1.25</v>
      </c>
      <c r="H164" s="9">
        <f>1.09*1.15</f>
        <v>1.2535000000000001</v>
      </c>
    </row>
    <row r="165" spans="5:8" ht="15.75" thickBot="1" x14ac:dyDescent="0.3">
      <c r="E165" s="42">
        <v>8</v>
      </c>
      <c r="F165" s="38">
        <v>1.5</v>
      </c>
      <c r="G165" t="str">
        <f t="shared" si="2"/>
        <v>8,1.5</v>
      </c>
      <c r="H165" s="9">
        <f>1.309*1.15</f>
        <v>1.5053499999999997</v>
      </c>
    </row>
    <row r="166" spans="5:8" ht="15.75" thickBot="1" x14ac:dyDescent="0.3">
      <c r="E166" s="42">
        <v>8</v>
      </c>
      <c r="F166" s="39">
        <v>2</v>
      </c>
      <c r="G166" t="str">
        <f t="shared" si="2"/>
        <v>8,2</v>
      </c>
      <c r="H166" s="13">
        <f>1.745*1.15</f>
        <v>2.0067499999999998</v>
      </c>
    </row>
    <row r="167" spans="5:8" ht="15.75" thickBot="1" x14ac:dyDescent="0.3">
      <c r="E167" s="41">
        <v>8.25</v>
      </c>
      <c r="F167" s="38">
        <v>1</v>
      </c>
      <c r="G167" t="str">
        <f t="shared" si="2"/>
        <v>8.25,1</v>
      </c>
      <c r="H167" s="19">
        <f>0.888*1.15</f>
        <v>1.0211999999999999</v>
      </c>
    </row>
    <row r="168" spans="5:8" ht="15.75" thickBot="1" x14ac:dyDescent="0.3">
      <c r="E168" s="41">
        <v>8.25</v>
      </c>
      <c r="F168" s="38">
        <v>1.25</v>
      </c>
      <c r="G168" t="str">
        <f t="shared" si="2"/>
        <v>8.25,1.25</v>
      </c>
      <c r="H168" s="10">
        <f>1.11*1.15</f>
        <v>1.2765</v>
      </c>
    </row>
    <row r="169" spans="5:8" ht="15.75" thickBot="1" x14ac:dyDescent="0.3">
      <c r="E169" s="41">
        <v>8.25</v>
      </c>
      <c r="F169" s="38">
        <v>1.5</v>
      </c>
      <c r="G169" t="str">
        <f t="shared" si="2"/>
        <v>8.25,1.5</v>
      </c>
      <c r="H169" s="10">
        <f>1.332*1.15</f>
        <v>1.5318000000000001</v>
      </c>
    </row>
    <row r="170" spans="5:8" ht="15.75" thickBot="1" x14ac:dyDescent="0.3">
      <c r="E170" s="41">
        <v>8.25</v>
      </c>
      <c r="F170" s="39">
        <v>2</v>
      </c>
      <c r="G170" t="str">
        <f t="shared" si="2"/>
        <v>8.25,2</v>
      </c>
      <c r="H170" s="14">
        <f>1.776*1.15</f>
        <v>2.0423999999999998</v>
      </c>
    </row>
    <row r="171" spans="5:8" ht="15.75" thickBot="1" x14ac:dyDescent="0.3">
      <c r="E171" s="42">
        <v>8.5</v>
      </c>
      <c r="F171" s="38">
        <v>1</v>
      </c>
      <c r="G171" t="str">
        <f t="shared" si="2"/>
        <v>8.5,1</v>
      </c>
      <c r="H171" s="18">
        <f>0.915*1.15</f>
        <v>1.0522499999999999</v>
      </c>
    </row>
    <row r="172" spans="5:8" ht="15.75" thickBot="1" x14ac:dyDescent="0.3">
      <c r="E172" s="42">
        <v>8.5</v>
      </c>
      <c r="F172" s="38">
        <v>1.25</v>
      </c>
      <c r="G172" t="str">
        <f t="shared" si="2"/>
        <v>8.5,1.25</v>
      </c>
      <c r="H172" s="9">
        <f>1.144*1.15</f>
        <v>1.3155999999999999</v>
      </c>
    </row>
    <row r="173" spans="5:8" ht="15.75" thickBot="1" x14ac:dyDescent="0.3">
      <c r="E173" s="42">
        <v>8.5</v>
      </c>
      <c r="F173" s="38">
        <v>1.5</v>
      </c>
      <c r="G173" t="str">
        <f t="shared" si="2"/>
        <v>8.5,1.5</v>
      </c>
      <c r="H173" s="9">
        <f>1.372*1.15</f>
        <v>1.5778000000000001</v>
      </c>
    </row>
    <row r="174" spans="5:8" ht="15.75" thickBot="1" x14ac:dyDescent="0.3">
      <c r="E174" s="42">
        <v>8.5</v>
      </c>
      <c r="F174" s="39">
        <v>2</v>
      </c>
      <c r="G174" t="str">
        <f t="shared" si="2"/>
        <v>8.5,2</v>
      </c>
      <c r="H174" s="13">
        <f>1.83*1.15</f>
        <v>2.1044999999999998</v>
      </c>
    </row>
    <row r="175" spans="5:8" ht="15.75" thickBot="1" x14ac:dyDescent="0.3">
      <c r="E175" s="41">
        <v>8.75</v>
      </c>
      <c r="F175" s="38">
        <v>1</v>
      </c>
      <c r="G175" t="str">
        <f t="shared" si="2"/>
        <v>8.75,1</v>
      </c>
      <c r="H175" s="19">
        <f>0.936*1.15</f>
        <v>1.0764</v>
      </c>
    </row>
    <row r="176" spans="5:8" ht="15.75" thickBot="1" x14ac:dyDescent="0.3">
      <c r="E176" s="41">
        <v>8.75</v>
      </c>
      <c r="F176" s="38">
        <v>1.25</v>
      </c>
      <c r="G176" t="str">
        <f t="shared" si="2"/>
        <v>8.75,1.25</v>
      </c>
      <c r="H176" s="10">
        <f>1.17*1.15</f>
        <v>1.3454999999999999</v>
      </c>
    </row>
    <row r="177" spans="5:8" ht="15.75" thickBot="1" x14ac:dyDescent="0.3">
      <c r="E177" s="41">
        <v>8.75</v>
      </c>
      <c r="F177" s="38">
        <v>1.5</v>
      </c>
      <c r="G177" t="str">
        <f t="shared" si="2"/>
        <v>8.75,1.5</v>
      </c>
      <c r="H177" s="10">
        <f>1.404*1.15</f>
        <v>1.6145999999999998</v>
      </c>
    </row>
    <row r="178" spans="5:8" ht="15.75" thickBot="1" x14ac:dyDescent="0.3">
      <c r="E178" s="41">
        <v>8.75</v>
      </c>
      <c r="F178" s="39">
        <v>2</v>
      </c>
      <c r="G178" t="str">
        <f t="shared" si="2"/>
        <v>8.75,2</v>
      </c>
      <c r="H178" s="14">
        <f>1.872*1.15</f>
        <v>2.1528</v>
      </c>
    </row>
    <row r="179" spans="5:8" ht="15.75" thickBot="1" x14ac:dyDescent="0.3">
      <c r="E179" s="43">
        <v>9</v>
      </c>
      <c r="F179" s="38">
        <v>1</v>
      </c>
      <c r="G179" t="str">
        <f t="shared" si="2"/>
        <v>9,1</v>
      </c>
      <c r="H179" s="20">
        <f>0.963*1.15</f>
        <v>1.1074499999999998</v>
      </c>
    </row>
    <row r="180" spans="5:8" ht="15.75" thickBot="1" x14ac:dyDescent="0.3">
      <c r="E180" s="43">
        <v>9</v>
      </c>
      <c r="F180" s="38">
        <v>1.25</v>
      </c>
      <c r="G180" t="str">
        <f t="shared" si="2"/>
        <v>9,1.25</v>
      </c>
      <c r="H180" s="15">
        <f>1.203*1.15</f>
        <v>1.3834500000000001</v>
      </c>
    </row>
    <row r="181" spans="5:8" ht="15.75" thickBot="1" x14ac:dyDescent="0.3">
      <c r="E181" s="43">
        <v>9</v>
      </c>
      <c r="F181" s="38">
        <v>1.5</v>
      </c>
      <c r="G181" t="str">
        <f t="shared" si="2"/>
        <v>9,1.5</v>
      </c>
      <c r="H181" s="15">
        <f>1.444*1.15</f>
        <v>1.6605999999999999</v>
      </c>
    </row>
    <row r="182" spans="5:8" ht="15.75" thickBot="1" x14ac:dyDescent="0.3">
      <c r="E182" s="43">
        <v>9</v>
      </c>
      <c r="F182" s="39">
        <v>2</v>
      </c>
      <c r="G182" t="str">
        <f t="shared" si="2"/>
        <v>9,2</v>
      </c>
      <c r="H182" s="16">
        <f>1.925*1.15</f>
        <v>2.2137499999999997</v>
      </c>
    </row>
  </sheetData>
  <sheetProtection algorithmName="SHA-512" hashValue="9k3VLOkMfkTpu9G4FuAwaQHM0OdpTtS1hOmqfFna0JmAsGUjwTITVaZaMK/F7HqGcZRm3+ANzof1dr0MRYpoHw==" saltValue="ZwnPQFm297CRZEFD/vPH8w==" spinCount="100000" sheet="1" objects="1" scenarios="1"/>
  <mergeCells count="2">
    <mergeCell ref="J1:N1"/>
    <mergeCell ref="K114:O1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BEFE-F2F1-40FA-A7F5-FC11C88CBB9E}">
  <sheetPr>
    <pageSetUpPr fitToPage="1"/>
  </sheetPr>
  <dimension ref="A1:K37"/>
  <sheetViews>
    <sheetView workbookViewId="0">
      <selection activeCell="K24" sqref="K24"/>
    </sheetView>
  </sheetViews>
  <sheetFormatPr defaultColWidth="9.140625" defaultRowHeight="30" customHeight="1" x14ac:dyDescent="0.2"/>
  <cols>
    <col min="1" max="1" width="2.7109375" style="36" customWidth="1"/>
    <col min="2" max="2" width="9.85546875" style="36" bestFit="1" customWidth="1"/>
    <col min="3" max="3" width="15.85546875" style="31" customWidth="1"/>
    <col min="4" max="4" width="44.7109375" style="31" customWidth="1"/>
    <col min="5" max="5" width="10" style="31" customWidth="1"/>
    <col min="6" max="6" width="8.42578125" style="31" hidden="1" customWidth="1"/>
    <col min="7" max="7" width="15.85546875" style="31" bestFit="1" customWidth="1"/>
    <col min="8" max="8" width="15.28515625" style="31" customWidth="1"/>
    <col min="9" max="10" width="9.140625" style="31"/>
    <col min="11" max="11" width="112.7109375" style="31" customWidth="1"/>
    <col min="12" max="16384" width="9.140625" style="31"/>
  </cols>
  <sheetData>
    <row r="1" spans="1:11" ht="13.5" thickBot="1" x14ac:dyDescent="0.25">
      <c r="A1" s="30"/>
      <c r="B1" s="81"/>
    </row>
    <row r="2" spans="1:11" ht="55.5" thickBot="1" x14ac:dyDescent="0.3">
      <c r="A2" s="30"/>
      <c r="B2" s="81"/>
      <c r="C2" s="95" t="s">
        <v>16</v>
      </c>
      <c r="D2" s="96"/>
      <c r="E2" s="97" t="s">
        <v>22</v>
      </c>
      <c r="F2" s="97"/>
      <c r="G2" s="97"/>
      <c r="H2" s="98"/>
    </row>
    <row r="3" spans="1:11" ht="19.5" thickTop="1" x14ac:dyDescent="0.3">
      <c r="A3" s="30"/>
      <c r="B3" s="81"/>
      <c r="C3" s="99"/>
      <c r="D3" s="92"/>
      <c r="E3" s="93"/>
      <c r="F3" s="92"/>
      <c r="G3" s="92" t="s">
        <v>117</v>
      </c>
      <c r="H3" s="100">
        <f ca="1">TODAY()</f>
        <v>45827</v>
      </c>
    </row>
    <row r="4" spans="1:11" ht="15" customHeight="1" x14ac:dyDescent="0.3">
      <c r="A4" s="32"/>
      <c r="B4" s="82"/>
      <c r="C4" s="101"/>
      <c r="D4" s="102"/>
      <c r="E4" s="103"/>
      <c r="F4" s="102"/>
      <c r="G4" s="102" t="s">
        <v>17</v>
      </c>
      <c r="H4" s="107" t="str">
        <f>'Trim Take Off'!$C$2</f>
        <v>GREENE</v>
      </c>
      <c r="J4" s="31" t="s">
        <v>21</v>
      </c>
    </row>
    <row r="5" spans="1:11" s="34" customFormat="1" ht="19.5" thickBot="1" x14ac:dyDescent="0.25">
      <c r="A5" s="33"/>
      <c r="B5" s="83"/>
      <c r="C5" s="101"/>
      <c r="D5" s="118"/>
      <c r="E5" s="119"/>
      <c r="F5" s="118"/>
      <c r="G5" s="118" t="s">
        <v>18</v>
      </c>
      <c r="H5" s="120" t="str">
        <f>'Trim Take Off'!$C$3</f>
        <v>BAR 17</v>
      </c>
      <c r="J5" s="68">
        <v>0.06</v>
      </c>
      <c r="K5" s="31" t="s">
        <v>118</v>
      </c>
    </row>
    <row r="6" spans="1:11" s="35" customFormat="1" ht="26.25" thickBot="1" x14ac:dyDescent="0.25">
      <c r="A6" s="31"/>
      <c r="B6" s="84" t="s">
        <v>115</v>
      </c>
      <c r="C6" s="121" t="s">
        <v>257</v>
      </c>
      <c r="D6" s="122" t="s">
        <v>8</v>
      </c>
      <c r="E6" s="122" t="s">
        <v>258</v>
      </c>
      <c r="F6" s="122" t="s">
        <v>48</v>
      </c>
      <c r="G6" s="122" t="s">
        <v>259</v>
      </c>
      <c r="H6" s="123" t="s">
        <v>20</v>
      </c>
    </row>
    <row r="7" spans="1:11" ht="12.75" customHeight="1" thickTop="1" x14ac:dyDescent="0.2">
      <c r="A7" s="31"/>
      <c r="B7" s="85">
        <v>1</v>
      </c>
      <c r="C7" s="104">
        <f>INDEX(Table17[Total],MATCH(InvoiceDetails713[[#This Row],[Line Number]],Table17[Line Number],0))</f>
        <v>1</v>
      </c>
      <c r="D7" s="124" t="str">
        <f>INDEX(Table17[Door Name],MATCH(InvoiceDetails713[[#This Row],[Line Number]],Table17[Line Number],0))</f>
        <v>2' 2"/6' 8" Swing</v>
      </c>
      <c r="E7" s="126">
        <f>INDEX(Table17[Door Price],MATCH(InvoiceDetails713[[#This Row],[Line Number]],Table17[Line Number],0))</f>
        <v>0</v>
      </c>
      <c r="F7" s="126"/>
      <c r="G7" s="126">
        <f>INDEX(Table17[Finish Price],MATCH(InvoiceDetails713[[#This Row],[Line Number]],Table17[Line Number],0))</f>
        <v>0</v>
      </c>
      <c r="H7" s="128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>0</v>
      </c>
    </row>
    <row r="8" spans="1:11" ht="12.75" x14ac:dyDescent="0.2">
      <c r="A8" s="31"/>
      <c r="B8" s="85">
        <v>2</v>
      </c>
      <c r="C8" s="104">
        <f>INDEX(Table17[Total],MATCH(InvoiceDetails713[[#This Row],[Line Number]],Table17[Line Number],0))</f>
        <v>2</v>
      </c>
      <c r="D8" s="124" t="str">
        <f>INDEX(Table17[Door Name],MATCH(InvoiceDetails713[[#This Row],[Line Number]],Table17[Line Number],0))</f>
        <v>2' 4"/6' 8" Swing</v>
      </c>
      <c r="E8" s="126">
        <f>INDEX(Table17[Door Price],MATCH(InvoiceDetails713[[#This Row],[Line Number]],Table17[Line Number],0))</f>
        <v>0</v>
      </c>
      <c r="F8" s="126"/>
      <c r="G8" s="126">
        <f>INDEX(Table17[Finish Price],MATCH(InvoiceDetails713[[#This Row],[Line Number]],Table17[Line Number],0))</f>
        <v>0</v>
      </c>
      <c r="H8" s="128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>0</v>
      </c>
    </row>
    <row r="9" spans="1:11" ht="12.75" x14ac:dyDescent="0.2">
      <c r="A9" s="31"/>
      <c r="B9" s="85">
        <v>3</v>
      </c>
      <c r="C9" s="104">
        <f>INDEX(Table17[Total],MATCH(InvoiceDetails713[[#This Row],[Line Number]],Table17[Line Number],0))</f>
        <v>3</v>
      </c>
      <c r="D9" s="124" t="str">
        <f>INDEX(Table17[Door Name],MATCH(InvoiceDetails713[[#This Row],[Line Number]],Table17[Line Number],0))</f>
        <v>2' 6"/7' 0" Swing</v>
      </c>
      <c r="E9" s="126">
        <f>INDEX(Table17[Door Price],MATCH(InvoiceDetails713[[#This Row],[Line Number]],Table17[Line Number],0))</f>
        <v>0</v>
      </c>
      <c r="F9" s="126"/>
      <c r="G9" s="126">
        <f>INDEX(Table17[Finish Price],MATCH(InvoiceDetails713[[#This Row],[Line Number]],Table17[Line Number],0))</f>
        <v>0</v>
      </c>
      <c r="H9" s="128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>0</v>
      </c>
    </row>
    <row r="10" spans="1:11" ht="12.75" x14ac:dyDescent="0.2">
      <c r="A10" s="31"/>
      <c r="B10" s="85">
        <v>4</v>
      </c>
      <c r="C10" s="104">
        <f>INDEX(Table17[Total],MATCH(InvoiceDetails713[[#This Row],[Line Number]],Table17[Line Number],0))</f>
        <v>2</v>
      </c>
      <c r="D10" s="124" t="str">
        <f>INDEX(Table17[Door Name],MATCH(InvoiceDetails713[[#This Row],[Line Number]],Table17[Line Number],0))</f>
        <v>2' 8"/7' 0" Swing</v>
      </c>
      <c r="E10" s="126">
        <f>INDEX(Table17[Door Price],MATCH(InvoiceDetails713[[#This Row],[Line Number]],Table17[Line Number],0))</f>
        <v>0</v>
      </c>
      <c r="F10" s="126"/>
      <c r="G10" s="126">
        <f>INDEX(Table17[Finish Price],MATCH(InvoiceDetails713[[#This Row],[Line Number]],Table17[Line Number],0))</f>
        <v>0</v>
      </c>
      <c r="H10" s="128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>0</v>
      </c>
    </row>
    <row r="11" spans="1:11" ht="12.75" x14ac:dyDescent="0.2">
      <c r="A11" s="31"/>
      <c r="B11" s="85">
        <v>5</v>
      </c>
      <c r="C11" s="104">
        <f>INDEX(Table17[Total],MATCH(InvoiceDetails713[[#This Row],[Line Number]],Table17[Line Number],0))</f>
        <v>1</v>
      </c>
      <c r="D11" s="124" t="str">
        <f>INDEX(Table17[Door Name],MATCH(InvoiceDetails713[[#This Row],[Line Number]],Table17[Line Number],0))</f>
        <v>3' 0"/8' 0" Swing</v>
      </c>
      <c r="E11" s="126">
        <f>INDEX(Table17[Door Price],MATCH(InvoiceDetails713[[#This Row],[Line Number]],Table17[Line Number],0))</f>
        <v>0</v>
      </c>
      <c r="F11" s="126"/>
      <c r="G11" s="126">
        <f>INDEX(Table17[Finish Price],MATCH(InvoiceDetails713[[#This Row],[Line Number]],Table17[Line Number],0))</f>
        <v>0</v>
      </c>
      <c r="H11" s="128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>0</v>
      </c>
    </row>
    <row r="12" spans="1:11" ht="12.75" x14ac:dyDescent="0.2">
      <c r="A12" s="31"/>
      <c r="B12" s="85">
        <v>6</v>
      </c>
      <c r="C12" s="104" t="str">
        <f>INDEX(Table17[Total],MATCH(InvoiceDetails713[[#This Row],[Line Number]],Table17[Line Number],0))</f>
        <v/>
      </c>
      <c r="D12" s="124" t="str">
        <f>INDEX(Table17[Door Name],MATCH(InvoiceDetails713[[#This Row],[Line Number]],Table17[Line Number],0))</f>
        <v/>
      </c>
      <c r="E12" s="126">
        <f>INDEX(Table17[Door Price],MATCH(InvoiceDetails713[[#This Row],[Line Number]],Table17[Line Number],0))</f>
        <v>0</v>
      </c>
      <c r="F12" s="126"/>
      <c r="G12" s="126">
        <f>INDEX(Table17[Finish Price],MATCH(InvoiceDetails713[[#This Row],[Line Number]],Table17[Line Number],0))</f>
        <v>0</v>
      </c>
      <c r="H12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13" spans="1:11" ht="12.75" x14ac:dyDescent="0.2">
      <c r="A13" s="31"/>
      <c r="B13" s="85">
        <v>7</v>
      </c>
      <c r="C13" s="104" t="str">
        <f>INDEX(Table17[Total],MATCH(InvoiceDetails713[[#This Row],[Line Number]],Table17[Line Number],0))</f>
        <v/>
      </c>
      <c r="D13" s="124" t="str">
        <f>INDEX(Table17[Door Name],MATCH(InvoiceDetails713[[#This Row],[Line Number]],Table17[Line Number],0))</f>
        <v/>
      </c>
      <c r="E13" s="126">
        <f>INDEX(Table17[Door Price],MATCH(InvoiceDetails713[[#This Row],[Line Number]],Table17[Line Number],0))</f>
        <v>0</v>
      </c>
      <c r="F13" s="126"/>
      <c r="G13" s="126">
        <f>INDEX(Table17[Finish Price],MATCH(InvoiceDetails713[[#This Row],[Line Number]],Table17[Line Number],0))</f>
        <v>0</v>
      </c>
      <c r="H13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14" spans="1:11" ht="12.75" x14ac:dyDescent="0.2">
      <c r="A14" s="31"/>
      <c r="B14" s="85">
        <v>8</v>
      </c>
      <c r="C14" s="104" t="str">
        <f>INDEX(Table17[Total],MATCH(InvoiceDetails713[[#This Row],[Line Number]],Table17[Line Number],0))</f>
        <v/>
      </c>
      <c r="D14" s="124" t="str">
        <f>INDEX(Table17[Door Name],MATCH(InvoiceDetails713[[#This Row],[Line Number]],Table17[Line Number],0))</f>
        <v/>
      </c>
      <c r="E14" s="126">
        <f>INDEX(Table17[Door Price],MATCH(InvoiceDetails713[[#This Row],[Line Number]],Table17[Line Number],0))</f>
        <v>0</v>
      </c>
      <c r="F14" s="126"/>
      <c r="G14" s="126">
        <f>INDEX(Table17[Finish Price],MATCH(InvoiceDetails713[[#This Row],[Line Number]],Table17[Line Number],0))</f>
        <v>0</v>
      </c>
      <c r="H14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15" spans="1:11" ht="12.75" x14ac:dyDescent="0.2">
      <c r="A15" s="31"/>
      <c r="B15" s="85">
        <v>9</v>
      </c>
      <c r="C15" s="104" t="str">
        <f>INDEX(Table17[Total],MATCH(InvoiceDetails713[[#This Row],[Line Number]],Table17[Line Number],0))</f>
        <v/>
      </c>
      <c r="D15" s="124" t="str">
        <f>INDEX(Table17[Door Name],MATCH(InvoiceDetails713[[#This Row],[Line Number]],Table17[Line Number],0))</f>
        <v/>
      </c>
      <c r="E15" s="126">
        <f>INDEX(Table17[Door Price],MATCH(InvoiceDetails713[[#This Row],[Line Number]],Table17[Line Number],0))</f>
        <v>0</v>
      </c>
      <c r="F15" s="126"/>
      <c r="G15" s="126">
        <f>INDEX(Table17[Finish Price],MATCH(InvoiceDetails713[[#This Row],[Line Number]],Table17[Line Number],0))</f>
        <v>0</v>
      </c>
      <c r="H15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16" spans="1:11" ht="12.75" x14ac:dyDescent="0.2">
      <c r="A16" s="31"/>
      <c r="B16" s="85">
        <v>10</v>
      </c>
      <c r="C16" s="104" t="str">
        <f>INDEX(Table17[Total],MATCH(InvoiceDetails713[[#This Row],[Line Number]],Table17[Line Number],0))</f>
        <v/>
      </c>
      <c r="D16" s="124" t="str">
        <f>INDEX(Table17[Door Name],MATCH(InvoiceDetails713[[#This Row],[Line Number]],Table17[Line Number],0))</f>
        <v/>
      </c>
      <c r="E16" s="126">
        <f>INDEX(Table17[Door Price],MATCH(InvoiceDetails713[[#This Row],[Line Number]],Table17[Line Number],0))</f>
        <v>0</v>
      </c>
      <c r="F16" s="126"/>
      <c r="G16" s="126">
        <f>INDEX(Table17[Finish Price],MATCH(InvoiceDetails713[[#This Row],[Line Number]],Table17[Line Number],0))</f>
        <v>0</v>
      </c>
      <c r="H16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17" spans="1:11" ht="12.75" x14ac:dyDescent="0.2">
      <c r="A17" s="31"/>
      <c r="B17" s="85">
        <v>11</v>
      </c>
      <c r="C17" s="104" t="str">
        <f>INDEX(Table17[Total],MATCH(InvoiceDetails713[[#This Row],[Line Number]],Table17[Line Number],0))</f>
        <v/>
      </c>
      <c r="D17" s="124" t="str">
        <f>INDEX(Table17[Door Name],MATCH(InvoiceDetails713[[#This Row],[Line Number]],Table17[Line Number],0))</f>
        <v/>
      </c>
      <c r="E17" s="126">
        <f>INDEX(Table17[Door Price],MATCH(InvoiceDetails713[[#This Row],[Line Number]],Table17[Line Number],0))</f>
        <v>0</v>
      </c>
      <c r="F17" s="126"/>
      <c r="G17" s="126">
        <f>INDEX(Table17[Finish Price],MATCH(InvoiceDetails713[[#This Row],[Line Number]],Table17[Line Number],0))</f>
        <v>0</v>
      </c>
      <c r="H17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18" spans="1:11" ht="12.75" x14ac:dyDescent="0.2">
      <c r="A18" s="31"/>
      <c r="B18" s="85">
        <v>12</v>
      </c>
      <c r="C18" s="104" t="str">
        <f>INDEX(Table17[Total],MATCH(InvoiceDetails713[[#This Row],[Line Number]],Table17[Line Number],0))</f>
        <v/>
      </c>
      <c r="D18" s="124" t="str">
        <f>INDEX(Table17[Door Name],MATCH(InvoiceDetails713[[#This Row],[Line Number]],Table17[Line Number],0))</f>
        <v/>
      </c>
      <c r="E18" s="126">
        <f>INDEX(Table17[Door Price],MATCH(InvoiceDetails713[[#This Row],[Line Number]],Table17[Line Number],0))</f>
        <v>0</v>
      </c>
      <c r="F18" s="126"/>
      <c r="G18" s="126">
        <f>INDEX(Table17[Finish Price],MATCH(InvoiceDetails713[[#This Row],[Line Number]],Table17[Line Number],0))</f>
        <v>0</v>
      </c>
      <c r="H18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19" spans="1:11" ht="12.75" x14ac:dyDescent="0.2">
      <c r="A19" s="31"/>
      <c r="B19" s="85">
        <v>13</v>
      </c>
      <c r="C19" s="104" t="str">
        <f>INDEX(Table17[Total],MATCH(InvoiceDetails713[[#This Row],[Line Number]],Table17[Line Number],0))</f>
        <v/>
      </c>
      <c r="D19" s="124" t="str">
        <f>INDEX(Table17[Door Name],MATCH(InvoiceDetails713[[#This Row],[Line Number]],Table17[Line Number],0))</f>
        <v/>
      </c>
      <c r="E19" s="126">
        <f>INDEX(Table17[Door Price],MATCH(InvoiceDetails713[[#This Row],[Line Number]],Table17[Line Number],0))</f>
        <v>0</v>
      </c>
      <c r="F19" s="126"/>
      <c r="G19" s="126">
        <f>INDEX(Table17[Finish Price],MATCH(InvoiceDetails713[[#This Row],[Line Number]],Table17[Line Number],0))</f>
        <v>0</v>
      </c>
      <c r="H19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20" spans="1:11" ht="12.75" x14ac:dyDescent="0.2">
      <c r="A20" s="31"/>
      <c r="B20" s="85">
        <v>14</v>
      </c>
      <c r="C20" s="104" t="str">
        <f>INDEX(Table17[Total],MATCH(InvoiceDetails713[[#This Row],[Line Number]],Table17[Line Number],0))</f>
        <v/>
      </c>
      <c r="D20" s="124" t="str">
        <f>INDEX(Table17[Door Name],MATCH(InvoiceDetails713[[#This Row],[Line Number]],Table17[Line Number],0))</f>
        <v/>
      </c>
      <c r="E20" s="126">
        <f>INDEX(Table17[Door Price],MATCH(InvoiceDetails713[[#This Row],[Line Number]],Table17[Line Number],0))</f>
        <v>0</v>
      </c>
      <c r="F20" s="126"/>
      <c r="G20" s="126">
        <f>INDEX(Table17[Finish Price],MATCH(InvoiceDetails713[[#This Row],[Line Number]],Table17[Line Number],0))</f>
        <v>0</v>
      </c>
      <c r="H20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21" spans="1:11" ht="12.75" x14ac:dyDescent="0.2">
      <c r="A21" s="31"/>
      <c r="B21" s="85">
        <v>15</v>
      </c>
      <c r="C21" s="104" t="str">
        <f>INDEX(Table17[Total],MATCH(InvoiceDetails713[[#This Row],[Line Number]],Table17[Line Number],0))</f>
        <v/>
      </c>
      <c r="D21" s="124" t="str">
        <f>INDEX(Table17[Door Name],MATCH(InvoiceDetails713[[#This Row],[Line Number]],Table17[Line Number],0))</f>
        <v/>
      </c>
      <c r="E21" s="126">
        <f>INDEX(Table17[Door Price],MATCH(InvoiceDetails713[[#This Row],[Line Number]],Table17[Line Number],0))</f>
        <v>0</v>
      </c>
      <c r="F21" s="126"/>
      <c r="G21" s="126">
        <f>INDEX(Table17[Finish Price],MATCH(InvoiceDetails713[[#This Row],[Line Number]],Table17[Line Number],0))</f>
        <v>0</v>
      </c>
      <c r="H21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22" spans="1:11" ht="12.75" x14ac:dyDescent="0.2">
      <c r="A22" s="31"/>
      <c r="B22" s="85">
        <v>16</v>
      </c>
      <c r="C22" s="104" t="str">
        <f>INDEX(Table17[Total],MATCH(InvoiceDetails713[[#This Row],[Line Number]],Table17[Line Number],0))</f>
        <v/>
      </c>
      <c r="D22" s="124" t="str">
        <f>INDEX(Table17[Door Name],MATCH(InvoiceDetails713[[#This Row],[Line Number]],Table17[Line Number],0))</f>
        <v/>
      </c>
      <c r="E22" s="126">
        <f>INDEX(Table17[Door Price],MATCH(InvoiceDetails713[[#This Row],[Line Number]],Table17[Line Number],0))</f>
        <v>0</v>
      </c>
      <c r="F22" s="126"/>
      <c r="G22" s="126">
        <f>INDEX(Table17[Finish Price],MATCH(InvoiceDetails713[[#This Row],[Line Number]],Table17[Line Number],0))</f>
        <v>0</v>
      </c>
      <c r="H22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23" spans="1:11" ht="12.75" x14ac:dyDescent="0.2">
      <c r="A23" s="31"/>
      <c r="B23" s="85">
        <v>17</v>
      </c>
      <c r="C23" s="104" t="str">
        <f>INDEX(Table17[Total],MATCH(InvoiceDetails713[[#This Row],[Line Number]],Table17[Line Number],0))</f>
        <v/>
      </c>
      <c r="D23" s="124" t="str">
        <f>INDEX(Table17[Door Name],MATCH(InvoiceDetails713[[#This Row],[Line Number]],Table17[Line Number],0))</f>
        <v/>
      </c>
      <c r="E23" s="126">
        <f>INDEX(Table17[Door Price],MATCH(InvoiceDetails713[[#This Row],[Line Number]],Table17[Line Number],0))</f>
        <v>0</v>
      </c>
      <c r="F23" s="126"/>
      <c r="G23" s="126">
        <f>INDEX(Table17[Finish Price],MATCH(InvoiceDetails713[[#This Row],[Line Number]],Table17[Line Number],0))</f>
        <v>0</v>
      </c>
      <c r="H23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24" spans="1:11" ht="12.75" x14ac:dyDescent="0.2">
      <c r="A24" s="31"/>
      <c r="B24" s="85">
        <v>18</v>
      </c>
      <c r="C24" s="104" t="str">
        <f>INDEX(Table17[Total],MATCH(InvoiceDetails713[[#This Row],[Line Number]],Table17[Line Number],0))</f>
        <v/>
      </c>
      <c r="D24" s="124" t="str">
        <f>INDEX(Table17[Door Name],MATCH(InvoiceDetails713[[#This Row],[Line Number]],Table17[Line Number],0))</f>
        <v/>
      </c>
      <c r="E24" s="126">
        <f>INDEX(Table17[Door Price],MATCH(InvoiceDetails713[[#This Row],[Line Number]],Table17[Line Number],0))</f>
        <v>0</v>
      </c>
      <c r="F24" s="126"/>
      <c r="G24" s="126">
        <f>INDEX(Table17[Finish Price],MATCH(InvoiceDetails713[[#This Row],[Line Number]],Table17[Line Number],0))</f>
        <v>0</v>
      </c>
      <c r="H24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25" spans="1:11" ht="12.75" x14ac:dyDescent="0.2">
      <c r="A25" s="31"/>
      <c r="B25" s="85">
        <v>19</v>
      </c>
      <c r="C25" s="104" t="str">
        <f>INDEX(Table17[Total],MATCH(InvoiceDetails713[[#This Row],[Line Number]],Table17[Line Number],0))</f>
        <v/>
      </c>
      <c r="D25" s="124" t="str">
        <f>INDEX(Table17[Door Name],MATCH(InvoiceDetails713[[#This Row],[Line Number]],Table17[Line Number],0))</f>
        <v/>
      </c>
      <c r="E25" s="126">
        <f>INDEX(Table17[Door Price],MATCH(InvoiceDetails713[[#This Row],[Line Number]],Table17[Line Number],0))</f>
        <v>0</v>
      </c>
      <c r="F25" s="126"/>
      <c r="G25" s="126">
        <f>INDEX(Table17[Finish Price],MATCH(InvoiceDetails713[[#This Row],[Line Number]],Table17[Line Number],0))</f>
        <v>0</v>
      </c>
      <c r="H25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26" spans="1:11" ht="12.75" x14ac:dyDescent="0.2">
      <c r="A26" s="31"/>
      <c r="B26" s="85">
        <v>20</v>
      </c>
      <c r="C26" s="104" t="str">
        <f>INDEX(Table17[Total],MATCH(InvoiceDetails713[[#This Row],[Line Number]],Table17[Line Number],0))</f>
        <v/>
      </c>
      <c r="D26" s="124" t="str">
        <f>INDEX(Table17[Door Name],MATCH(InvoiceDetails713[[#This Row],[Line Number]],Table17[Line Number],0))</f>
        <v/>
      </c>
      <c r="E26" s="126">
        <f>INDEX(Table17[Door Price],MATCH(InvoiceDetails713[[#This Row],[Line Number]],Table17[Line Number],0))</f>
        <v>0</v>
      </c>
      <c r="F26" s="126"/>
      <c r="G26" s="126">
        <f>INDEX(Table17[Finish Price],MATCH(InvoiceDetails713[[#This Row],[Line Number]],Table17[Line Number],0))</f>
        <v>0</v>
      </c>
      <c r="H26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27" spans="1:11" ht="12.75" x14ac:dyDescent="0.2">
      <c r="A27" s="31"/>
      <c r="B27" s="85">
        <v>21</v>
      </c>
      <c r="C27" s="105" t="str">
        <f>INDEX(Table17[Total],MATCH(InvoiceDetails713[[#This Row],[Line Number]],Table17[Line Number],0))</f>
        <v/>
      </c>
      <c r="D27" s="124" t="str">
        <f>INDEX(Table17[Door Name],MATCH(InvoiceDetails713[[#This Row],[Line Number]],Table17[Line Number],0))</f>
        <v/>
      </c>
      <c r="E27" s="126">
        <f>INDEX(Table17[Door Price],MATCH(InvoiceDetails713[[#This Row],[Line Number]],Table17[Line Number],0))</f>
        <v>0</v>
      </c>
      <c r="F27" s="126"/>
      <c r="G27" s="126">
        <f>INDEX(Table17[Finish Price],MATCH(InvoiceDetails713[[#This Row],[Line Number]],Table17[Line Number],0))</f>
        <v>0</v>
      </c>
      <c r="H27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28" spans="1:11" ht="12.75" x14ac:dyDescent="0.2">
      <c r="A28" s="31"/>
      <c r="B28" s="85">
        <v>22</v>
      </c>
      <c r="C28" s="105" t="str">
        <f>INDEX(Table17[Total],MATCH(InvoiceDetails713[[#This Row],[Line Number]],Table17[Line Number],0))</f>
        <v/>
      </c>
      <c r="D28" s="124" t="str">
        <f>INDEX(Table17[Door Name],MATCH(InvoiceDetails713[[#This Row],[Line Number]],Table17[Line Number],0))</f>
        <v/>
      </c>
      <c r="E28" s="126">
        <f>INDEX(Table17[Door Price],MATCH(InvoiceDetails713[[#This Row],[Line Number]],Table17[Line Number],0))</f>
        <v>0</v>
      </c>
      <c r="F28" s="126"/>
      <c r="G28" s="126">
        <f>INDEX(Table17[Finish Price],MATCH(InvoiceDetails713[[#This Row],[Line Number]],Table17[Line Number],0))</f>
        <v>0</v>
      </c>
      <c r="H28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29" spans="1:11" ht="12.75" x14ac:dyDescent="0.2">
      <c r="A29" s="31"/>
      <c r="B29" s="85">
        <v>23</v>
      </c>
      <c r="C29" s="105" t="str">
        <f>INDEX(Table17[Total],MATCH(InvoiceDetails713[[#This Row],[Line Number]],Table17[Line Number],0))</f>
        <v/>
      </c>
      <c r="D29" s="124" t="str">
        <f>INDEX(Table17[Door Name],MATCH(InvoiceDetails713[[#This Row],[Line Number]],Table17[Line Number],0))</f>
        <v/>
      </c>
      <c r="E29" s="126">
        <f>INDEX(Table17[Door Price],MATCH(InvoiceDetails713[[#This Row],[Line Number]],Table17[Line Number],0))</f>
        <v>0</v>
      </c>
      <c r="F29" s="126"/>
      <c r="G29" s="126">
        <f>INDEX(Table17[Finish Price],MATCH(InvoiceDetails713[[#This Row],[Line Number]],Table17[Line Number],0))</f>
        <v>0</v>
      </c>
      <c r="H29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30" spans="1:11" ht="12.75" x14ac:dyDescent="0.2">
      <c r="A30" s="31"/>
      <c r="B30" s="85">
        <v>24</v>
      </c>
      <c r="C30" s="105" t="str">
        <f>INDEX(Table17[Total],MATCH(InvoiceDetails713[[#This Row],[Line Number]],Table17[Line Number],0))</f>
        <v/>
      </c>
      <c r="D30" s="124" t="str">
        <f>INDEX(Table17[Door Name],MATCH(InvoiceDetails713[[#This Row],[Line Number]],Table17[Line Number],0))</f>
        <v/>
      </c>
      <c r="E30" s="126">
        <f>INDEX(Table17[Door Price],MATCH(InvoiceDetails713[[#This Row],[Line Number]],Table17[Line Number],0))</f>
        <v>0</v>
      </c>
      <c r="F30" s="126"/>
      <c r="G30" s="126">
        <f>INDEX(Table17[Finish Price],MATCH(InvoiceDetails713[[#This Row],[Line Number]],Table17[Line Number],0))</f>
        <v>0</v>
      </c>
      <c r="H30" s="128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31" spans="1:11" ht="13.5" thickBot="1" x14ac:dyDescent="0.25">
      <c r="A31" s="31"/>
      <c r="B31" s="85">
        <v>25</v>
      </c>
      <c r="C31" s="106" t="str">
        <f>INDEX(Table17[Total],MATCH(InvoiceDetails713[[#This Row],[Line Number]],Table17[Line Number],0))</f>
        <v/>
      </c>
      <c r="D31" s="125" t="str">
        <f>INDEX(Table17[Door Name],MATCH(InvoiceDetails713[[#This Row],[Line Number]],Table17[Line Number],0))</f>
        <v/>
      </c>
      <c r="E31" s="127">
        <f>INDEX(Table17[Door Price],MATCH(InvoiceDetails713[[#This Row],[Line Number]],Table17[Line Number],0))</f>
        <v>0</v>
      </c>
      <c r="F31" s="127"/>
      <c r="G31" s="127">
        <f>INDEX(Table17[Finish Price],MATCH(InvoiceDetails713[[#This Row],[Line Number]],Table17[Line Number],0))</f>
        <v>0</v>
      </c>
      <c r="H31" s="129" t="str">
        <f>IF(InvoiceDetails713[[#This Row],[Description]]="","",(IFERROR(InvoiceDetails713[[#This Row],[Unit Price]]*InvoiceDetails713[[#This Row],[Qty]]+InvoiceDetails713[[#This Row],[Set Up]],"")+IFERROR(InvoiceDetails713[[#This Row],[Unit Finish Price]]*InvoiceDetails713[[#This Row],[Qty]],0)))</f>
        <v/>
      </c>
    </row>
    <row r="32" spans="1:11" ht="12.75" x14ac:dyDescent="0.2">
      <c r="A32" s="31"/>
      <c r="B32" s="31"/>
      <c r="F32" s="113"/>
      <c r="G32" s="113" t="str">
        <f>IF('Trim Take Off'!C20="poplar","Primed",IF('Trim Take Off'!C20="","",'Trim Take Off'!C20))</f>
        <v>Primed</v>
      </c>
      <c r="H32" s="66">
        <f>IF(G32="","",SUMIFS(InvoiceDetails713[Line Total],InvoiceDetails713[Description],"*"&amp;G32&amp;"*"))</f>
        <v>0</v>
      </c>
      <c r="K32" s="31" t="s">
        <v>188</v>
      </c>
    </row>
    <row r="33" spans="1:8" ht="12.75" x14ac:dyDescent="0.2">
      <c r="A33" s="31"/>
      <c r="B33" s="31"/>
      <c r="F33" s="115"/>
      <c r="G33" s="115" t="str">
        <f>IF('Trim Take Off'!C21="poplar","Primed",IF('Trim Take Off'!C21="","",'Trim Take Off'!C21))</f>
        <v/>
      </c>
      <c r="H33" s="94" t="str">
        <f>IF(G33="","",SUMIFS(InvoiceDetails713[Line Total],InvoiceDetails713[Description],"*"&amp;G33&amp;"*"))</f>
        <v/>
      </c>
    </row>
    <row r="34" spans="1:8" ht="13.5" thickBot="1" x14ac:dyDescent="0.25">
      <c r="A34" s="31"/>
      <c r="B34" s="31"/>
      <c r="F34" s="116"/>
      <c r="G34" s="116" t="str">
        <f>IF('Trim Take Off'!C22="poplar","Primed",IF('Trim Take Off'!C22="","",'Trim Take Off'!C22))</f>
        <v/>
      </c>
      <c r="H34" s="80" t="str">
        <f>IF(G34="","",SUMIFS(InvoiceDetails713[Line Total],InvoiceDetails713[Description],"*"&amp;G34&amp;"*"))</f>
        <v/>
      </c>
    </row>
    <row r="35" spans="1:8" ht="15.75" hidden="1" thickBot="1" x14ac:dyDescent="0.3">
      <c r="A35" s="31"/>
      <c r="B35" s="31"/>
      <c r="G35" s="79" t="s">
        <v>0</v>
      </c>
      <c r="H35" s="67" t="e">
        <f>H34+H32</f>
        <v>#VALUE!</v>
      </c>
    </row>
    <row r="36" spans="1:8" ht="12.75" x14ac:dyDescent="0.2">
      <c r="A36" s="31"/>
      <c r="B36" s="31"/>
    </row>
    <row r="37" spans="1:8" ht="12.75" x14ac:dyDescent="0.2">
      <c r="C37" s="37"/>
      <c r="D37" s="37"/>
      <c r="E37" s="37"/>
      <c r="F37" s="37"/>
      <c r="G37" s="37"/>
      <c r="H37" s="37"/>
    </row>
  </sheetData>
  <dataValidations count="6">
    <dataValidation allowBlank="1" showInputMessage="1" showErrorMessage="1" prompt="Enter information in Invoice Details table starting in cell at right. Subtotal and Total are auto calculated. Next instruction is in cell A40." sqref="A6:B6" xr:uid="{796C5EE4-7854-4A34-9A67-B625C5B65669}"/>
    <dataValidation allowBlank="1" showInputMessage="1" showErrorMessage="1" prompt="Enter Customer ID in cell E5." sqref="A5:B5" xr:uid="{ABDEDECB-B1D7-4F2B-BEDC-165A7C872E28}"/>
    <dataValidation allowBlank="1" showInputMessage="1" showErrorMessage="1" prompt="Enter Company Slogan in cell at right and Invoice number in cell E4." sqref="A4:B4" xr:uid="{71214C12-F90E-4627-B73F-C830CF20751C}"/>
    <dataValidation allowBlank="1" showInputMessage="1" showErrorMessage="1" prompt="Enter Company Name in cell at right and Date in cell E3." sqref="A3:B3" xr:uid="{9B810507-A390-4CEF-9A74-83B68C2EDFFC}"/>
    <dataValidation allowBlank="1" showInputMessage="1" showErrorMessage="1" prompt="Enter Company Logo in cell at right. Title of this worksheet is in cell D2." sqref="A2:B2" xr:uid="{6706294B-141C-4523-BF21-DD2B02C96D32}"/>
    <dataValidation allowBlank="1" showInputMessage="1" showErrorMessage="1" prompt="Create a Service Invoice in this worksheet. Helpful instructions on how to use this worksheet are in cells in this column. Arrow down to get started." sqref="A1:B1" xr:uid="{A3F0B4ED-088E-45E6-BD14-54CCD3CDDC0D}"/>
  </dataValidations>
  <pageMargins left="0.7" right="0.7" top="0.75" bottom="0.75" header="0.3" footer="0.3"/>
  <pageSetup scale="83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916A1E-B62B-41CA-AC43-01ACA7A93766}">
          <x14:formula1>
            <xm:f>'Door Schedule'!$J$3:$J$52</xm:f>
          </x14:formula1>
          <xm:sqref>D7:D31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B0EB-1719-457B-82E4-ADB5C40DE8A4}">
  <sheetPr>
    <pageSetUpPr fitToPage="1"/>
  </sheetPr>
  <dimension ref="A1:K37"/>
  <sheetViews>
    <sheetView workbookViewId="0">
      <selection activeCell="K21" sqref="K21"/>
    </sheetView>
  </sheetViews>
  <sheetFormatPr defaultColWidth="9.140625" defaultRowHeight="30" customHeight="1" x14ac:dyDescent="0.2"/>
  <cols>
    <col min="1" max="1" width="2.7109375" style="36" customWidth="1"/>
    <col min="2" max="2" width="9.85546875" style="36" bestFit="1" customWidth="1"/>
    <col min="3" max="3" width="15.85546875" style="31" customWidth="1"/>
    <col min="4" max="4" width="44.7109375" style="31" customWidth="1"/>
    <col min="5" max="5" width="10" style="31" customWidth="1"/>
    <col min="6" max="6" width="8.42578125" style="31" bestFit="1" customWidth="1"/>
    <col min="7" max="7" width="14.5703125" style="31" customWidth="1"/>
    <col min="8" max="8" width="15.28515625" style="31" customWidth="1"/>
    <col min="9" max="10" width="9.140625" style="31"/>
    <col min="11" max="11" width="112.7109375" style="31" customWidth="1"/>
    <col min="12" max="16384" width="9.140625" style="31"/>
  </cols>
  <sheetData>
    <row r="1" spans="1:11" ht="13.5" thickBot="1" x14ac:dyDescent="0.25">
      <c r="A1" s="30"/>
      <c r="B1" s="81"/>
    </row>
    <row r="2" spans="1:11" ht="55.5" thickBot="1" x14ac:dyDescent="0.3">
      <c r="A2" s="30"/>
      <c r="B2" s="81"/>
      <c r="C2" s="95" t="s">
        <v>16</v>
      </c>
      <c r="D2" s="96"/>
      <c r="E2" s="97" t="s">
        <v>22</v>
      </c>
      <c r="F2" s="97"/>
      <c r="G2" s="97"/>
      <c r="H2" s="98"/>
    </row>
    <row r="3" spans="1:11" ht="19.5" thickTop="1" x14ac:dyDescent="0.3">
      <c r="A3" s="30"/>
      <c r="B3" s="81"/>
      <c r="C3" s="99"/>
      <c r="D3" s="92"/>
      <c r="E3" s="93"/>
      <c r="F3" s="92"/>
      <c r="G3" s="92" t="s">
        <v>117</v>
      </c>
      <c r="H3" s="100">
        <f ca="1">TODAY()</f>
        <v>45827</v>
      </c>
    </row>
    <row r="4" spans="1:11" ht="15" customHeight="1" x14ac:dyDescent="0.3">
      <c r="A4" s="32"/>
      <c r="B4" s="82"/>
      <c r="C4" s="101"/>
      <c r="D4" s="102"/>
      <c r="E4" s="103"/>
      <c r="F4" s="102"/>
      <c r="G4" s="102" t="s">
        <v>17</v>
      </c>
      <c r="H4" s="107" t="str">
        <f>'Trim Take Off'!$C$2</f>
        <v>GREENE</v>
      </c>
      <c r="J4" s="31" t="s">
        <v>21</v>
      </c>
    </row>
    <row r="5" spans="1:11" s="34" customFormat="1" ht="19.5" thickBot="1" x14ac:dyDescent="0.25">
      <c r="A5" s="33"/>
      <c r="B5" s="83"/>
      <c r="C5" s="101"/>
      <c r="D5" s="118"/>
      <c r="E5" s="119"/>
      <c r="F5" s="118"/>
      <c r="G5" s="118" t="s">
        <v>18</v>
      </c>
      <c r="H5" s="120" t="str">
        <f>'Trim Take Off'!$C$3</f>
        <v>BAR 17</v>
      </c>
      <c r="J5" s="68">
        <v>0.06</v>
      </c>
      <c r="K5" s="31" t="s">
        <v>118</v>
      </c>
    </row>
    <row r="6" spans="1:11" s="35" customFormat="1" ht="26.25" thickBot="1" x14ac:dyDescent="0.25">
      <c r="A6" s="31"/>
      <c r="B6" s="84" t="s">
        <v>115</v>
      </c>
      <c r="C6" s="121" t="s">
        <v>23</v>
      </c>
      <c r="D6" s="122" t="s">
        <v>8</v>
      </c>
      <c r="E6" s="122" t="s">
        <v>186</v>
      </c>
      <c r="F6" s="122" t="s">
        <v>48</v>
      </c>
      <c r="G6" s="122" t="s">
        <v>187</v>
      </c>
      <c r="H6" s="123" t="s">
        <v>20</v>
      </c>
      <c r="K6" s="35" t="s">
        <v>119</v>
      </c>
    </row>
    <row r="7" spans="1:11" ht="12.75" customHeight="1" thickTop="1" x14ac:dyDescent="0.2">
      <c r="A7" s="31"/>
      <c r="B7" s="85">
        <v>1</v>
      </c>
      <c r="C7" s="104">
        <f>IFERROR(INDEX(TRIM[Lin.Ft.],MATCH(InvoiceDetails7[[#This Row],[Description]],TRIM[Description],0)),"")</f>
        <v>350</v>
      </c>
      <c r="D7" s="124" t="str">
        <f>IFERROR(INDEX(TRIM[Description],MATCH(InvoiceDetails7[[#This Row],[Line Number]],TRIM[line number],0)),"")</f>
        <v>Poplar PRIMED BASE 5.25 x 0.5</v>
      </c>
      <c r="E7" s="126">
        <f>IFERROR(INDEX(TRIM[Sell/LF Margin],MATCH(InvoiceDetails7[[#This Row],[Description]],TRIM[Description],0)),"")</f>
        <v>3.2480525000000005</v>
      </c>
      <c r="F7" s="126">
        <f>IFERROR(INDEX(TRIM[Set Up Total],MATCH(InvoiceDetails7[[#This Row],[Description]],TRIM[Description],0)),"")</f>
        <v>725</v>
      </c>
      <c r="G7" s="126">
        <f>IFERROR(INDEX(TRIM[LF Finish Add],MATCH(InvoiceDetails7[[#This Row],[Description]],TRIM[Description],0)),"")</f>
        <v>1</v>
      </c>
      <c r="H7" s="128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>2211.8183749999998</v>
      </c>
      <c r="K7" s="31" t="s">
        <v>120</v>
      </c>
    </row>
    <row r="8" spans="1:11" ht="12.75" x14ac:dyDescent="0.2">
      <c r="A8" s="31"/>
      <c r="B8" s="85">
        <v>2</v>
      </c>
      <c r="C8" s="104">
        <f>IFERROR(INDEX(TRIM[Lin.Ft.],MATCH(InvoiceDetails7[[#This Row],[Description]],TRIM[Description],0)),"")</f>
        <v>714</v>
      </c>
      <c r="D8" s="124" t="str">
        <f>IFERROR(INDEX(TRIM[Description],MATCH(InvoiceDetails7[[#This Row],[Line Number]],TRIM[line number],0)),"")</f>
        <v>Poplar PRIMED CASE 3.25 x 0.625</v>
      </c>
      <c r="E8" s="126">
        <f>IFERROR(INDEX(TRIM[Sell/LF Margin],MATCH(InvoiceDetails7[[#This Row],[Description]],TRIM[Description],0)),"")</f>
        <v>2.5170406250000004</v>
      </c>
      <c r="F8" s="126">
        <f>IFERROR(INDEX(TRIM[Set Up Total],MATCH(InvoiceDetails7[[#This Row],[Description]],TRIM[Description],0)),"")</f>
        <v>525</v>
      </c>
      <c r="G8" s="126">
        <f>IFERROR(INDEX(TRIM[LF Finish Add],MATCH(InvoiceDetails7[[#This Row],[Description]],TRIM[Description],0)),"")</f>
        <v>1</v>
      </c>
      <c r="H8" s="128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>3036.1670062500002</v>
      </c>
      <c r="K8" s="31" t="s">
        <v>121</v>
      </c>
    </row>
    <row r="9" spans="1:11" ht="12.75" x14ac:dyDescent="0.2">
      <c r="A9" s="31"/>
      <c r="B9" s="85">
        <v>3</v>
      </c>
      <c r="C9" s="104">
        <f>IFERROR(INDEX(TRIM[Lin.Ft.],MATCH(InvoiceDetails7[[#This Row],[Description]],TRIM[Description],0)),"")</f>
        <v>139.5</v>
      </c>
      <c r="D9" s="124" t="str">
        <f>IFERROR(INDEX(TRIM[Description],MATCH(InvoiceDetails7[[#This Row],[Line Number]],TRIM[line number],0)),"")</f>
        <v>Poplar PRIMED HEADER 5.25 x 0.875</v>
      </c>
      <c r="E9" s="126">
        <f>IFERROR(INDEX(TRIM[Sell/LF Margin],MATCH(InvoiceDetails7[[#This Row],[Description]],TRIM[Description],0)),"")</f>
        <v>3.2480525</v>
      </c>
      <c r="F9" s="126">
        <f>IFERROR(INDEX(TRIM[Set Up Total],MATCH(InvoiceDetails7[[#This Row],[Description]],TRIM[Description],0)),"")</f>
        <v>725</v>
      </c>
      <c r="G9" s="126">
        <f>IFERROR(INDEX(TRIM[LF Finish Add],MATCH(InvoiceDetails7[[#This Row],[Description]],TRIM[Description],0)),"")</f>
        <v>1</v>
      </c>
      <c r="H9" s="128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>1317.6033237500001</v>
      </c>
      <c r="K9" s="31" t="s">
        <v>122</v>
      </c>
    </row>
    <row r="10" spans="1:11" ht="12.75" x14ac:dyDescent="0.2">
      <c r="A10" s="31"/>
      <c r="B10" s="85">
        <v>4</v>
      </c>
      <c r="C10" s="104">
        <f>IFERROR(INDEX(TRIM[Lin.Ft.],MATCH(InvoiceDetails7[[#This Row],[Description]],TRIM[Description],0)),"")</f>
        <v>21</v>
      </c>
      <c r="D10" s="124" t="str">
        <f>IFERROR(INDEX(TRIM[Description],MATCH(InvoiceDetails7[[#This Row],[Line Number]],TRIM[line number],0)),"")</f>
        <v>Poplar PRIMED INT JAMB 4.75 x 0.75</v>
      </c>
      <c r="E10" s="126">
        <f>IFERROR(INDEX(TRIM[Sell/LF Margin],MATCH(InvoiceDetails7[[#This Row],[Description]],TRIM[Description],0)),"")</f>
        <v>3.0116556249999995</v>
      </c>
      <c r="F10" s="126">
        <f>IFERROR(INDEX(TRIM[Set Up Total],MATCH(InvoiceDetails7[[#This Row],[Description]],TRIM[Description],0)),"")</f>
        <v>675</v>
      </c>
      <c r="G10" s="126">
        <f>IFERROR(INDEX(TRIM[LF Finish Add],MATCH(InvoiceDetails7[[#This Row],[Description]],TRIM[Description],0)),"")</f>
        <v>1</v>
      </c>
      <c r="H10" s="128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>759.24476812499995</v>
      </c>
      <c r="K10" s="31" t="s">
        <v>123</v>
      </c>
    </row>
    <row r="11" spans="1:11" ht="12.75" x14ac:dyDescent="0.2">
      <c r="A11" s="31"/>
      <c r="B11" s="85">
        <v>5</v>
      </c>
      <c r="C11" s="104">
        <f>IFERROR(INDEX(TRIM[Lin.Ft.],MATCH(InvoiceDetails7[[#This Row],[Description]],TRIM[Description],0)),"")</f>
        <v>273</v>
      </c>
      <c r="D11" s="124" t="str">
        <f>IFERROR(INDEX(TRIM[Description],MATCH(InvoiceDetails7[[#This Row],[Line Number]],TRIM[line number],0)),"")</f>
        <v>Poplar PRIMED WINDOW JAMB 6 x 0.75</v>
      </c>
      <c r="E11" s="126">
        <f>IFERROR(INDEX(TRIM[Sell/LF Margin],MATCH(InvoiceDetails7[[#This Row],[Description]],TRIM[Description],0)),"")</f>
        <v>3.4808124999999999</v>
      </c>
      <c r="F11" s="126">
        <f>IFERROR(INDEX(TRIM[Set Up Total],MATCH(InvoiceDetails7[[#This Row],[Description]],TRIM[Description],0)),"")</f>
        <v>800</v>
      </c>
      <c r="G11" s="126">
        <f>IFERROR(INDEX(TRIM[LF Finish Add],MATCH(InvoiceDetails7[[#This Row],[Description]],TRIM[Description],0)),"")</f>
        <v>1.1499999999999999</v>
      </c>
      <c r="H11" s="128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>2064.2118124999997</v>
      </c>
      <c r="K11" s="31" t="s">
        <v>196</v>
      </c>
    </row>
    <row r="12" spans="1:11" ht="12.75" x14ac:dyDescent="0.2">
      <c r="A12" s="31"/>
      <c r="B12" s="85">
        <v>6</v>
      </c>
      <c r="C12" s="104">
        <f>IFERROR(INDEX(TRIM[Lin.Ft.],MATCH(InvoiceDetails7[[#This Row],[Description]],TRIM[Description],0)),"")</f>
        <v>139.5</v>
      </c>
      <c r="D12" s="124" t="str">
        <f>IFERROR(INDEX(TRIM[Description],MATCH(InvoiceDetails7[[#This Row],[Line Number]],TRIM[line number],0)),"")</f>
        <v>Poplar PRIMED SILL 7.25 x 0.75</v>
      </c>
      <c r="E12" s="126">
        <f>IFERROR(INDEX(TRIM[Sell/LF Margin],MATCH(InvoiceDetails7[[#This Row],[Description]],TRIM[Description],0)),"")</f>
        <v>3.8772318750000001</v>
      </c>
      <c r="F12" s="126">
        <f>IFERROR(INDEX(TRIM[Set Up Total],MATCH(InvoiceDetails7[[#This Row],[Description]],TRIM[Description],0)),"")</f>
        <v>925</v>
      </c>
      <c r="G12" s="126">
        <f>IFERROR(INDEX(TRIM[LF Finish Add],MATCH(InvoiceDetails7[[#This Row],[Description]],TRIM[Description],0)),"")</f>
        <v>1.1499999999999999</v>
      </c>
      <c r="H12" s="128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>1626.2988465625001</v>
      </c>
      <c r="K12" s="31" t="s">
        <v>124</v>
      </c>
    </row>
    <row r="13" spans="1:11" ht="12.75" x14ac:dyDescent="0.2">
      <c r="A13" s="31"/>
      <c r="B13" s="85">
        <v>7</v>
      </c>
      <c r="C13" s="104">
        <f>IFERROR(INDEX(TRIM[Lin.Ft.],MATCH(InvoiceDetails7[[#This Row],[Description]],TRIM[Description],0)),"")</f>
        <v>139.5</v>
      </c>
      <c r="D13" s="124" t="str">
        <f>IFERROR(INDEX(TRIM[Description],MATCH(InvoiceDetails7[[#This Row],[Line Number]],TRIM[line number],0)),"")</f>
        <v>Poplar PRIMED APRON 5.25 x 0.5</v>
      </c>
      <c r="E13" s="126">
        <f>IFERROR(INDEX(TRIM[Sell/LF Margin],MATCH(InvoiceDetails7[[#This Row],[Description]],TRIM[Description],0)),"")</f>
        <v>3.2480525</v>
      </c>
      <c r="F13" s="126">
        <f>IFERROR(INDEX(TRIM[Set Up Total],MATCH(InvoiceDetails7[[#This Row],[Description]],TRIM[Description],0)),"")</f>
        <v>725</v>
      </c>
      <c r="G13" s="126">
        <f>IFERROR(INDEX(TRIM[LF Finish Add],MATCH(InvoiceDetails7[[#This Row],[Description]],TRIM[Description],0)),"")</f>
        <v>1</v>
      </c>
      <c r="H13" s="128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>1317.6033237500001</v>
      </c>
      <c r="K13" s="31" t="s">
        <v>125</v>
      </c>
    </row>
    <row r="14" spans="1:11" ht="12.75" x14ac:dyDescent="0.2">
      <c r="A14" s="31"/>
      <c r="B14" s="85">
        <v>8</v>
      </c>
      <c r="C14" s="104" t="str">
        <f>IFERROR(INDEX(TRIM[Lin.Ft.],MATCH(InvoiceDetails7[[#This Row],[Description]],TRIM[Description],0)),"")</f>
        <v/>
      </c>
      <c r="D14" s="124" t="str">
        <f>IFERROR(INDEX(TRIM[Description],MATCH(InvoiceDetails7[[#This Row],[Line Number]],TRIM[line number],0)),"")</f>
        <v/>
      </c>
      <c r="E14" s="126" t="str">
        <f>IFERROR(INDEX(TRIM[Sell/LF Margin],MATCH(InvoiceDetails7[[#This Row],[Description]],TRIM[Description],0)),"")</f>
        <v/>
      </c>
      <c r="F14" s="126" t="str">
        <f>IFERROR(INDEX(TRIM[Set Up Total],MATCH(InvoiceDetails7[[#This Row],[Description]],TRIM[Description],0)),"")</f>
        <v/>
      </c>
      <c r="G14" s="126" t="str">
        <f>IFERROR(INDEX(TRIM[LF Finish Add],MATCH(InvoiceDetails7[[#This Row],[Description]],TRIM[Description],0)),"")</f>
        <v/>
      </c>
      <c r="H14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15" spans="1:11" ht="12.75" x14ac:dyDescent="0.2">
      <c r="A15" s="31"/>
      <c r="B15" s="85">
        <v>9</v>
      </c>
      <c r="C15" s="104" t="str">
        <f>IFERROR(INDEX(TRIM[Lin.Ft.],MATCH(InvoiceDetails7[[#This Row],[Description]],TRIM[Description],0)),"")</f>
        <v/>
      </c>
      <c r="D15" s="124" t="str">
        <f>IFERROR(INDEX(TRIM[Description],MATCH(InvoiceDetails7[[#This Row],[Line Number]],TRIM[line number],0)),"")</f>
        <v/>
      </c>
      <c r="E15" s="126" t="str">
        <f>IFERROR(INDEX(TRIM[Sell/LF Margin],MATCH(InvoiceDetails7[[#This Row],[Description]],TRIM[Description],0)),"")</f>
        <v/>
      </c>
      <c r="F15" s="126" t="str">
        <f>IFERROR(INDEX(TRIM[Set Up Total],MATCH(InvoiceDetails7[[#This Row],[Description]],TRIM[Description],0)),"")</f>
        <v/>
      </c>
      <c r="G15" s="126" t="str">
        <f>IFERROR(INDEX(TRIM[LF Finish Add],MATCH(InvoiceDetails7[[#This Row],[Description]],TRIM[Description],0)),"")</f>
        <v/>
      </c>
      <c r="H15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16" spans="1:11" ht="12.75" x14ac:dyDescent="0.2">
      <c r="A16" s="31"/>
      <c r="B16" s="85">
        <v>10</v>
      </c>
      <c r="C16" s="104" t="str">
        <f>IFERROR(INDEX(TRIM[Lin.Ft.],MATCH(InvoiceDetails7[[#This Row],[Description]],TRIM[Description],0)),"")</f>
        <v/>
      </c>
      <c r="D16" s="124" t="str">
        <f>IFERROR(INDEX(TRIM[Description],MATCH(InvoiceDetails7[[#This Row],[Line Number]],TRIM[line number],0)),"")</f>
        <v/>
      </c>
      <c r="E16" s="126" t="str">
        <f>IFERROR(INDEX(TRIM[Sell/LF Margin],MATCH(InvoiceDetails7[[#This Row],[Description]],TRIM[Description],0)),"")</f>
        <v/>
      </c>
      <c r="F16" s="126" t="str">
        <f>IFERROR(INDEX(TRIM[Set Up Total],MATCH(InvoiceDetails7[[#This Row],[Description]],TRIM[Description],0)),"")</f>
        <v/>
      </c>
      <c r="G16" s="126" t="str">
        <f>IFERROR(INDEX(TRIM[LF Finish Add],MATCH(InvoiceDetails7[[#This Row],[Description]],TRIM[Description],0)),"")</f>
        <v/>
      </c>
      <c r="H16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17" spans="1:11" ht="12.75" x14ac:dyDescent="0.2">
      <c r="A17" s="31"/>
      <c r="B17" s="85">
        <v>11</v>
      </c>
      <c r="C17" s="104" t="str">
        <f>IFERROR(INDEX(TRIM[Lin.Ft.],MATCH(InvoiceDetails7[[#This Row],[Description]],TRIM[Description],0)),"")</f>
        <v/>
      </c>
      <c r="D17" s="124" t="str">
        <f>IFERROR(INDEX(TRIM[Description],MATCH(InvoiceDetails7[[#This Row],[Line Number]],TRIM[line number],0)),"")</f>
        <v/>
      </c>
      <c r="E17" s="126" t="str">
        <f>IFERROR(INDEX(TRIM[Sell/LF Margin],MATCH(InvoiceDetails7[[#This Row],[Description]],TRIM[Description],0)),"")</f>
        <v/>
      </c>
      <c r="F17" s="126" t="str">
        <f>IFERROR(INDEX(TRIM[Set Up Total],MATCH(InvoiceDetails7[[#This Row],[Description]],TRIM[Description],0)),"")</f>
        <v/>
      </c>
      <c r="G17" s="126" t="str">
        <f>IFERROR(INDEX(TRIM[LF Finish Add],MATCH(InvoiceDetails7[[#This Row],[Description]],TRIM[Description],0)),"")</f>
        <v/>
      </c>
      <c r="H17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18" spans="1:11" ht="12.75" x14ac:dyDescent="0.2">
      <c r="A18" s="31"/>
      <c r="B18" s="85">
        <v>12</v>
      </c>
      <c r="C18" s="104" t="str">
        <f>IFERROR(INDEX(TRIM[Lin.Ft.],MATCH(InvoiceDetails7[[#This Row],[Description]],TRIM[Description],0)),"")</f>
        <v/>
      </c>
      <c r="D18" s="124" t="str">
        <f>IFERROR(INDEX(TRIM[Description],MATCH(InvoiceDetails7[[#This Row],[Line Number]],TRIM[line number],0)),"")</f>
        <v/>
      </c>
      <c r="E18" s="126" t="str">
        <f>IFERROR(INDEX(TRIM[Sell/LF Margin],MATCH(InvoiceDetails7[[#This Row],[Description]],TRIM[Description],0)),"")</f>
        <v/>
      </c>
      <c r="F18" s="126" t="str">
        <f>IFERROR(INDEX(TRIM[Set Up Total],MATCH(InvoiceDetails7[[#This Row],[Description]],TRIM[Description],0)),"")</f>
        <v/>
      </c>
      <c r="G18" s="126" t="str">
        <f>IFERROR(INDEX(TRIM[LF Finish Add],MATCH(InvoiceDetails7[[#This Row],[Description]],TRIM[Description],0)),"")</f>
        <v/>
      </c>
      <c r="H18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19" spans="1:11" ht="12.75" x14ac:dyDescent="0.2">
      <c r="A19" s="31"/>
      <c r="B19" s="85">
        <v>13</v>
      </c>
      <c r="C19" s="104" t="str">
        <f>IFERROR(INDEX(TRIM[Lin.Ft.],MATCH(InvoiceDetails7[[#This Row],[Description]],TRIM[Description],0)),"")</f>
        <v/>
      </c>
      <c r="D19" s="124" t="str">
        <f>IFERROR(INDEX(TRIM[Description],MATCH(InvoiceDetails7[[#This Row],[Line Number]],TRIM[line number],0)),"")</f>
        <v/>
      </c>
      <c r="E19" s="126" t="str">
        <f>IFERROR(INDEX(TRIM[Sell/LF Margin],MATCH(InvoiceDetails7[[#This Row],[Description]],TRIM[Description],0)),"")</f>
        <v/>
      </c>
      <c r="F19" s="126" t="str">
        <f>IFERROR(INDEX(TRIM[Set Up Total],MATCH(InvoiceDetails7[[#This Row],[Description]],TRIM[Description],0)),"")</f>
        <v/>
      </c>
      <c r="G19" s="126" t="str">
        <f>IFERROR(INDEX(TRIM[LF Finish Add],MATCH(InvoiceDetails7[[#This Row],[Description]],TRIM[Description],0)),"")</f>
        <v/>
      </c>
      <c r="H19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20" spans="1:11" ht="12.75" x14ac:dyDescent="0.2">
      <c r="A20" s="31"/>
      <c r="B20" s="85">
        <v>14</v>
      </c>
      <c r="C20" s="104" t="str">
        <f>IFERROR(INDEX(TRIM[Lin.Ft.],MATCH(InvoiceDetails7[[#This Row],[Description]],TRIM[Description],0)),"")</f>
        <v/>
      </c>
      <c r="D20" s="124" t="str">
        <f>IFERROR(INDEX(TRIM[Description],MATCH(InvoiceDetails7[[#This Row],[Line Number]],TRIM[line number],0)),"")</f>
        <v/>
      </c>
      <c r="E20" s="126" t="str">
        <f>IFERROR(INDEX(TRIM[Sell/LF Margin],MATCH(InvoiceDetails7[[#This Row],[Description]],TRIM[Description],0)),"")</f>
        <v/>
      </c>
      <c r="F20" s="126" t="str">
        <f>IFERROR(INDEX(TRIM[Set Up Total],MATCH(InvoiceDetails7[[#This Row],[Description]],TRIM[Description],0)),"")</f>
        <v/>
      </c>
      <c r="G20" s="126" t="str">
        <f>IFERROR(INDEX(TRIM[LF Finish Add],MATCH(InvoiceDetails7[[#This Row],[Description]],TRIM[Description],0)),"")</f>
        <v/>
      </c>
      <c r="H20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21" spans="1:11" ht="12.75" x14ac:dyDescent="0.2">
      <c r="A21" s="31"/>
      <c r="B21" s="85">
        <v>15</v>
      </c>
      <c r="C21" s="104" t="str">
        <f>IFERROR(INDEX(TRIM[Lin.Ft.],MATCH(InvoiceDetails7[[#This Row],[Description]],TRIM[Description],0)),"")</f>
        <v/>
      </c>
      <c r="D21" s="124" t="str">
        <f>IFERROR(INDEX(TRIM[Description],MATCH(InvoiceDetails7[[#This Row],[Line Number]],TRIM[line number],0)),"")</f>
        <v/>
      </c>
      <c r="E21" s="126" t="str">
        <f>IFERROR(INDEX(TRIM[Sell/LF Margin],MATCH(InvoiceDetails7[[#This Row],[Description]],TRIM[Description],0)),"")</f>
        <v/>
      </c>
      <c r="F21" s="126" t="str">
        <f>IFERROR(INDEX(TRIM[Set Up Total],MATCH(InvoiceDetails7[[#This Row],[Description]],TRIM[Description],0)),"")</f>
        <v/>
      </c>
      <c r="G21" s="126" t="str">
        <f>IFERROR(INDEX(TRIM[LF Finish Add],MATCH(InvoiceDetails7[[#This Row],[Description]],TRIM[Description],0)),"")</f>
        <v/>
      </c>
      <c r="H21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22" spans="1:11" ht="12.75" x14ac:dyDescent="0.2">
      <c r="A22" s="31"/>
      <c r="B22" s="85">
        <v>16</v>
      </c>
      <c r="C22" s="104" t="str">
        <f>IFERROR(INDEX(TRIM[Lin.Ft.],MATCH(InvoiceDetails7[[#This Row],[Description]],TRIM[Description],0)),"")</f>
        <v/>
      </c>
      <c r="D22" s="124" t="str">
        <f>IFERROR(INDEX(TRIM[Description],MATCH(InvoiceDetails7[[#This Row],[Line Number]],TRIM[line number],0)),"")</f>
        <v/>
      </c>
      <c r="E22" s="126" t="str">
        <f>IFERROR(INDEX(TRIM[Sell/LF Margin],MATCH(InvoiceDetails7[[#This Row],[Description]],TRIM[Description],0)),"")</f>
        <v/>
      </c>
      <c r="F22" s="126" t="str">
        <f>IFERROR(INDEX(TRIM[Set Up Total],MATCH(InvoiceDetails7[[#This Row],[Description]],TRIM[Description],0)),"")</f>
        <v/>
      </c>
      <c r="G22" s="126" t="str">
        <f>IFERROR(INDEX(TRIM[LF Finish Add],MATCH(InvoiceDetails7[[#This Row],[Description]],TRIM[Description],0)),"")</f>
        <v/>
      </c>
      <c r="H22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23" spans="1:11" ht="12.75" x14ac:dyDescent="0.2">
      <c r="A23" s="31"/>
      <c r="B23" s="85">
        <v>17</v>
      </c>
      <c r="C23" s="104" t="str">
        <f>IFERROR(INDEX(TRIM[Lin.Ft.],MATCH(InvoiceDetails7[[#This Row],[Description]],TRIM[Description],0)),"")</f>
        <v/>
      </c>
      <c r="D23" s="124" t="str">
        <f>IFERROR(INDEX(TRIM[Description],MATCH(InvoiceDetails7[[#This Row],[Line Number]],TRIM[line number],0)),"")</f>
        <v/>
      </c>
      <c r="E23" s="126" t="str">
        <f>IFERROR(INDEX(TRIM[Sell/LF Margin],MATCH(InvoiceDetails7[[#This Row],[Description]],TRIM[Description],0)),"")</f>
        <v/>
      </c>
      <c r="F23" s="126" t="str">
        <f>IFERROR(INDEX(TRIM[Set Up Total],MATCH(InvoiceDetails7[[#This Row],[Description]],TRIM[Description],0)),"")</f>
        <v/>
      </c>
      <c r="G23" s="126" t="str">
        <f>IFERROR(INDEX(TRIM[LF Finish Add],MATCH(InvoiceDetails7[[#This Row],[Description]],TRIM[Description],0)),"")</f>
        <v/>
      </c>
      <c r="H23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24" spans="1:11" ht="12.75" x14ac:dyDescent="0.2">
      <c r="A24" s="31"/>
      <c r="B24" s="85">
        <v>18</v>
      </c>
      <c r="C24" s="104" t="str">
        <f>IFERROR(INDEX(TRIM[Lin.Ft.],MATCH(InvoiceDetails7[[#This Row],[Description]],TRIM[Description],0)),"")</f>
        <v/>
      </c>
      <c r="D24" s="124" t="str">
        <f>IFERROR(INDEX(TRIM[Description],MATCH(InvoiceDetails7[[#This Row],[Line Number]],TRIM[line number],0)),"")</f>
        <v/>
      </c>
      <c r="E24" s="126" t="str">
        <f>IFERROR(INDEX(TRIM[Sell/LF Margin],MATCH(InvoiceDetails7[[#This Row],[Description]],TRIM[Description],0)),"")</f>
        <v/>
      </c>
      <c r="F24" s="126" t="str">
        <f>IFERROR(INDEX(TRIM[Set Up Total],MATCH(InvoiceDetails7[[#This Row],[Description]],TRIM[Description],0)),"")</f>
        <v/>
      </c>
      <c r="G24" s="126" t="str">
        <f>IFERROR(INDEX(TRIM[LF Finish Add],MATCH(InvoiceDetails7[[#This Row],[Description]],TRIM[Description],0)),"")</f>
        <v/>
      </c>
      <c r="H24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25" spans="1:11" ht="12.75" x14ac:dyDescent="0.2">
      <c r="A25" s="31"/>
      <c r="B25" s="85">
        <v>19</v>
      </c>
      <c r="C25" s="104" t="str">
        <f>IFERROR(INDEX(TRIM[Lin.Ft.],MATCH(InvoiceDetails7[[#This Row],[Description]],TRIM[Description],0)),"")</f>
        <v/>
      </c>
      <c r="D25" s="124" t="str">
        <f>IFERROR(INDEX(TRIM[Description],MATCH(InvoiceDetails7[[#This Row],[Line Number]],TRIM[line number],0)),"")</f>
        <v/>
      </c>
      <c r="E25" s="126" t="str">
        <f>IFERROR(INDEX(TRIM[Sell/LF Margin],MATCH(InvoiceDetails7[[#This Row],[Description]],TRIM[Description],0)),"")</f>
        <v/>
      </c>
      <c r="F25" s="126" t="str">
        <f>IFERROR(INDEX(TRIM[Set Up Total],MATCH(InvoiceDetails7[[#This Row],[Description]],TRIM[Description],0)),"")</f>
        <v/>
      </c>
      <c r="G25" s="126" t="str">
        <f>IFERROR(INDEX(TRIM[LF Finish Add],MATCH(InvoiceDetails7[[#This Row],[Description]],TRIM[Description],0)),"")</f>
        <v/>
      </c>
      <c r="H25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26" spans="1:11" ht="12.75" x14ac:dyDescent="0.2">
      <c r="A26" s="31"/>
      <c r="B26" s="85">
        <v>20</v>
      </c>
      <c r="C26" s="104" t="str">
        <f>IFERROR(INDEX(TRIM[Lin.Ft.],MATCH(InvoiceDetails7[[#This Row],[Description]],TRIM[Description],0)),"")</f>
        <v/>
      </c>
      <c r="D26" s="124" t="str">
        <f>IFERROR(INDEX(TRIM[Description],MATCH(InvoiceDetails7[[#This Row],[Line Number]],TRIM[line number],0)),"")</f>
        <v/>
      </c>
      <c r="E26" s="126" t="str">
        <f>IFERROR(INDEX(TRIM[Sell/LF Margin],MATCH(InvoiceDetails7[[#This Row],[Description]],TRIM[Description],0)),"")</f>
        <v/>
      </c>
      <c r="F26" s="126" t="str">
        <f>IFERROR(INDEX(TRIM[Set Up Total],MATCH(InvoiceDetails7[[#This Row],[Description]],TRIM[Description],0)),"")</f>
        <v/>
      </c>
      <c r="G26" s="126" t="str">
        <f>IFERROR(INDEX(TRIM[LF Finish Add],MATCH(InvoiceDetails7[[#This Row],[Description]],TRIM[Description],0)),"")</f>
        <v/>
      </c>
      <c r="H26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27" spans="1:11" ht="12.75" x14ac:dyDescent="0.2">
      <c r="A27" s="31"/>
      <c r="B27" s="85">
        <v>21</v>
      </c>
      <c r="C27" s="105" t="str">
        <f>IFERROR(INDEX(TRIM[Lin.Ft.],MATCH(InvoiceDetails7[[#This Row],[Description]],TRIM[Description],0)),"")</f>
        <v/>
      </c>
      <c r="D27" s="124" t="str">
        <f>IFERROR(INDEX(TRIM[Description],MATCH(InvoiceDetails7[[#This Row],[Line Number]],TRIM[line number],0)),"")</f>
        <v/>
      </c>
      <c r="E27" s="126" t="str">
        <f>IFERROR(INDEX(TRIM[Sell/LF Margin],MATCH(InvoiceDetails7[[#This Row],[Description]],TRIM[Description],0)),"")</f>
        <v/>
      </c>
      <c r="F27" s="126" t="str">
        <f>IFERROR(INDEX(TRIM[Set Up Total],MATCH(InvoiceDetails7[[#This Row],[Description]],TRIM[Description],0)),"")</f>
        <v/>
      </c>
      <c r="G27" s="126" t="str">
        <f>IFERROR(INDEX(TRIM[LF Finish Add],MATCH(InvoiceDetails7[[#This Row],[Description]],TRIM[Description],0)),"")</f>
        <v/>
      </c>
      <c r="H27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28" spans="1:11" ht="12.75" x14ac:dyDescent="0.2">
      <c r="A28" s="31"/>
      <c r="B28" s="85">
        <v>22</v>
      </c>
      <c r="C28" s="105" t="str">
        <f>IFERROR(INDEX(TRIM[Lin.Ft.],MATCH(InvoiceDetails7[[#This Row],[Description]],TRIM[Description],0)),"")</f>
        <v/>
      </c>
      <c r="D28" s="124" t="str">
        <f>IFERROR(INDEX(TRIM[Description],MATCH(InvoiceDetails7[[#This Row],[Line Number]],TRIM[line number],0)),"")</f>
        <v/>
      </c>
      <c r="E28" s="126" t="str">
        <f>IFERROR(INDEX(TRIM[Sell/LF Margin],MATCH(InvoiceDetails7[[#This Row],[Description]],TRIM[Description],0)),"")</f>
        <v/>
      </c>
      <c r="F28" s="126" t="str">
        <f>IFERROR(INDEX(TRIM[Set Up Total],MATCH(InvoiceDetails7[[#This Row],[Description]],TRIM[Description],0)),"")</f>
        <v/>
      </c>
      <c r="G28" s="126" t="str">
        <f>IFERROR(INDEX(TRIM[LF Finish Add],MATCH(InvoiceDetails7[[#This Row],[Description]],TRIM[Description],0)),"")</f>
        <v/>
      </c>
      <c r="H28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29" spans="1:11" ht="12.75" x14ac:dyDescent="0.2">
      <c r="A29" s="31"/>
      <c r="B29" s="85">
        <v>23</v>
      </c>
      <c r="C29" s="105" t="str">
        <f>IFERROR(INDEX(TRIM[Lin.Ft.],MATCH(InvoiceDetails7[[#This Row],[Description]],TRIM[Description],0)),"")</f>
        <v/>
      </c>
      <c r="D29" s="124" t="str">
        <f>IFERROR(INDEX(TRIM[Description],MATCH(InvoiceDetails7[[#This Row],[Line Number]],TRIM[line number],0)),"")</f>
        <v/>
      </c>
      <c r="E29" s="126" t="str">
        <f>IFERROR(INDEX(TRIM[Sell/LF Margin],MATCH(InvoiceDetails7[[#This Row],[Description]],TRIM[Description],0)),"")</f>
        <v/>
      </c>
      <c r="F29" s="126" t="str">
        <f>IFERROR(INDEX(TRIM[Set Up Total],MATCH(InvoiceDetails7[[#This Row],[Description]],TRIM[Description],0)),"")</f>
        <v/>
      </c>
      <c r="G29" s="126" t="str">
        <f>IFERROR(INDEX(TRIM[LF Finish Add],MATCH(InvoiceDetails7[[#This Row],[Description]],TRIM[Description],0)),"")</f>
        <v/>
      </c>
      <c r="H29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30" spans="1:11" ht="12.75" x14ac:dyDescent="0.2">
      <c r="A30" s="31"/>
      <c r="B30" s="85">
        <v>24</v>
      </c>
      <c r="C30" s="105" t="str">
        <f>IFERROR(INDEX(TRIM[Lin.Ft.],MATCH(InvoiceDetails7[[#This Row],[Description]],TRIM[Description],0)),"")</f>
        <v/>
      </c>
      <c r="D30" s="124" t="str">
        <f>IFERROR(INDEX(TRIM[Description],MATCH(InvoiceDetails7[[#This Row],[Line Number]],TRIM[line number],0)),"")</f>
        <v/>
      </c>
      <c r="E30" s="126" t="str">
        <f>IFERROR(INDEX(TRIM[Sell/LF Margin],MATCH(InvoiceDetails7[[#This Row],[Description]],TRIM[Description],0)),"")</f>
        <v/>
      </c>
      <c r="F30" s="126" t="str">
        <f>IFERROR(INDEX(TRIM[Set Up Total],MATCH(InvoiceDetails7[[#This Row],[Description]],TRIM[Description],0)),"")</f>
        <v/>
      </c>
      <c r="G30" s="126" t="str">
        <f>IFERROR(INDEX(TRIM[LF Finish Add],MATCH(InvoiceDetails7[[#This Row],[Description]],TRIM[Description],0)),"")</f>
        <v/>
      </c>
      <c r="H30" s="128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31" spans="1:11" ht="13.5" thickBot="1" x14ac:dyDescent="0.25">
      <c r="A31" s="31"/>
      <c r="B31" s="85">
        <v>25</v>
      </c>
      <c r="C31" s="106" t="str">
        <f>IFERROR(INDEX(TRIM[Lin.Ft.],MATCH(InvoiceDetails7[[#This Row],[Description]],TRIM[Description],0)),"")</f>
        <v/>
      </c>
      <c r="D31" s="125" t="str">
        <f>IFERROR(INDEX(TRIM[Description],MATCH(InvoiceDetails7[[#This Row],[Line Number]],TRIM[line number],0)),"")</f>
        <v/>
      </c>
      <c r="E31" s="127" t="str">
        <f>IFERROR(INDEX(TRIM[Sell/LF Margin],MATCH(InvoiceDetails7[[#This Row],[Description]],TRIM[Description],0)),"")</f>
        <v/>
      </c>
      <c r="F31" s="127" t="str">
        <f>IFERROR(INDEX(TRIM[Set Up Total],MATCH(InvoiceDetails7[[#This Row],[Description]],TRIM[Description],0)),"")</f>
        <v/>
      </c>
      <c r="G31" s="127" t="str">
        <f>IFERROR(INDEX(TRIM[LF Finish Add],MATCH(InvoiceDetails7[[#This Row],[Description]],TRIM[Description],0)),"")</f>
        <v/>
      </c>
      <c r="H31" s="129" t="str">
        <f>IF(InvoiceDetails7[[#This Row],[Description]]="","",(IFERROR(InvoiceDetails7[[#This Row],[LF Price]]*InvoiceDetails7[[#This Row],[Qty LF]]+InvoiceDetails7[[#This Row],[Set Up]],"")+IFERROR(InvoiceDetails7[[#This Row],[Finish LF Price]]*InvoiceDetails7[[#This Row],[Qty LF]],0)))</f>
        <v/>
      </c>
    </row>
    <row r="32" spans="1:11" ht="12.75" x14ac:dyDescent="0.2">
      <c r="A32" s="31"/>
      <c r="B32" s="31"/>
      <c r="F32" s="113"/>
      <c r="G32" s="114" t="str">
        <f>IF('Trim Take Off'!C20="","",'Trim Take Off'!C20)</f>
        <v>Poplar</v>
      </c>
      <c r="H32" s="66">
        <f>IF(G32="","",SUMIFS(InvoiceDetails7[Line Total],InvoiceDetails7[Description],"*"&amp;G32&amp;"*"))</f>
        <v>12332.947455937499</v>
      </c>
      <c r="K32" s="31" t="s">
        <v>188</v>
      </c>
    </row>
    <row r="33" spans="1:8" ht="12.75" x14ac:dyDescent="0.2">
      <c r="A33" s="31"/>
      <c r="B33" s="31"/>
      <c r="F33" s="115"/>
      <c r="G33" s="112" t="str">
        <f>IF('Trim Take Off'!C21="","",'Trim Take Off'!C21)</f>
        <v/>
      </c>
      <c r="H33" s="94" t="str">
        <f>IF(G33="","",SUMIFS(InvoiceDetails7[Line Total],InvoiceDetails7[Description],"*"&amp;G33&amp;"*"))</f>
        <v/>
      </c>
    </row>
    <row r="34" spans="1:8" ht="13.5" thickBot="1" x14ac:dyDescent="0.25">
      <c r="A34" s="31"/>
      <c r="B34" s="31"/>
      <c r="F34" s="116"/>
      <c r="G34" s="117" t="str">
        <f>IF('Trim Take Off'!C22="","",'Trim Take Off'!C22)</f>
        <v/>
      </c>
      <c r="H34" s="80" t="str">
        <f>IF(G34="","",SUMIFS(InvoiceDetails7[Line Total],InvoiceDetails7[Description],"*"&amp;G34&amp;"*"))</f>
        <v/>
      </c>
    </row>
    <row r="35" spans="1:8" ht="15.75" hidden="1" thickBot="1" x14ac:dyDescent="0.3">
      <c r="A35" s="31"/>
      <c r="B35" s="31"/>
      <c r="G35" s="79" t="s">
        <v>0</v>
      </c>
      <c r="H35" s="67" t="e">
        <f>H34+H32</f>
        <v>#VALUE!</v>
      </c>
    </row>
    <row r="36" spans="1:8" ht="12.75" x14ac:dyDescent="0.2">
      <c r="A36" s="31"/>
      <c r="B36" s="31"/>
    </row>
    <row r="37" spans="1:8" ht="12.75" x14ac:dyDescent="0.2">
      <c r="C37" s="37"/>
      <c r="D37" s="37"/>
      <c r="E37" s="37"/>
      <c r="F37" s="37"/>
      <c r="G37" s="37"/>
      <c r="H37" s="37"/>
    </row>
  </sheetData>
  <phoneticPr fontId="17" type="noConversion"/>
  <dataValidations count="6">
    <dataValidation allowBlank="1" showInputMessage="1" showErrorMessage="1" prompt="Create a Service Invoice in this worksheet. Helpful instructions on how to use this worksheet are in cells in this column. Arrow down to get started." sqref="A1:B1" xr:uid="{C40205C3-C938-4268-B61F-5295206B8A62}"/>
    <dataValidation allowBlank="1" showInputMessage="1" showErrorMessage="1" prompt="Enter Company Logo in cell at right. Title of this worksheet is in cell D2." sqref="A2:B2" xr:uid="{A5ABF8A0-8B16-448E-B006-2C9F4032F25E}"/>
    <dataValidation allowBlank="1" showInputMessage="1" showErrorMessage="1" prompt="Enter Company Name in cell at right and Date in cell E3." sqref="A3:B3" xr:uid="{94D8E3FB-230F-4C03-9326-57D3F9462063}"/>
    <dataValidation allowBlank="1" showInputMessage="1" showErrorMessage="1" prompt="Enter Company Slogan in cell at right and Invoice number in cell E4." sqref="A4:B4" xr:uid="{5B22238E-A8E0-4128-85DF-0728342B0767}"/>
    <dataValidation allowBlank="1" showInputMessage="1" showErrorMessage="1" prompt="Enter Customer ID in cell E5." sqref="A5:B5" xr:uid="{D53CCEF9-2CD8-4A73-80C1-6A3EF7B01090}"/>
    <dataValidation allowBlank="1" showInputMessage="1" showErrorMessage="1" prompt="Enter information in Invoice Details table starting in cell at right. Subtotal and Total are auto calculated. Next instruction is in cell A40." sqref="A6:B6" xr:uid="{74C57F3F-2C89-4835-BF06-8FCD4507F10E}"/>
  </dataValidations>
  <pageMargins left="0.7" right="0.7" top="0.75" bottom="0.75" header="0.3" footer="0.3"/>
  <pageSetup scale="83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E4B667-8BFB-47AB-942F-BC0DDB48EA4B}">
          <x14:formula1>
            <xm:f>'Trim Calc'!$H$15:$H$30</xm:f>
          </x14:formula1>
          <xm:sqref>D7:D31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D61D-AAF5-4C3D-B44F-AC031768F7AF}">
  <dimension ref="A1:V26"/>
  <sheetViews>
    <sheetView workbookViewId="0">
      <selection activeCell="F28" sqref="F28"/>
    </sheetView>
  </sheetViews>
  <sheetFormatPr defaultRowHeight="15" x14ac:dyDescent="0.25"/>
  <cols>
    <col min="3" max="3" width="15.5703125" bestFit="1" customWidth="1"/>
    <col min="4" max="11" width="15.85546875" customWidth="1"/>
    <col min="12" max="12" width="12" bestFit="1" customWidth="1"/>
    <col min="14" max="14" width="21.42578125" bestFit="1" customWidth="1"/>
    <col min="15" max="15" width="6" bestFit="1" customWidth="1"/>
    <col min="16" max="16" width="5.85546875" bestFit="1" customWidth="1"/>
    <col min="17" max="17" width="8.85546875" bestFit="1" customWidth="1"/>
    <col min="18" max="18" width="10.28515625" bestFit="1" customWidth="1"/>
    <col min="19" max="19" width="16.5703125" bestFit="1" customWidth="1"/>
    <col min="20" max="20" width="5.28515625" bestFit="1" customWidth="1"/>
    <col min="21" max="21" width="8.140625" bestFit="1" customWidth="1"/>
    <col min="22" max="22" width="7.85546875" bestFit="1" customWidth="1"/>
  </cols>
  <sheetData>
    <row r="1" spans="1:22" ht="15.75" x14ac:dyDescent="0.25">
      <c r="L1" t="s">
        <v>153</v>
      </c>
      <c r="O1" s="133" t="s">
        <v>70</v>
      </c>
      <c r="P1" s="134" t="s">
        <v>71</v>
      </c>
      <c r="Q1" s="133" t="s">
        <v>72</v>
      </c>
      <c r="R1" s="134" t="s">
        <v>73</v>
      </c>
      <c r="S1" s="133" t="s">
        <v>74</v>
      </c>
      <c r="T1" s="134" t="s">
        <v>75</v>
      </c>
      <c r="U1" s="133" t="s">
        <v>76</v>
      </c>
      <c r="V1" s="134" t="s">
        <v>77</v>
      </c>
    </row>
    <row r="2" spans="1:22" x14ac:dyDescent="0.25">
      <c r="C2" s="108" t="s">
        <v>15</v>
      </c>
      <c r="D2" t="s">
        <v>154</v>
      </c>
      <c r="E2" t="s">
        <v>155</v>
      </c>
      <c r="F2" t="s">
        <v>156</v>
      </c>
      <c r="G2" t="s">
        <v>157</v>
      </c>
      <c r="H2" t="s">
        <v>149</v>
      </c>
      <c r="I2" t="s">
        <v>150</v>
      </c>
      <c r="J2" t="s">
        <v>151</v>
      </c>
      <c r="K2" t="s">
        <v>152</v>
      </c>
      <c r="N2" s="130" t="s">
        <v>80</v>
      </c>
      <c r="O2" s="131">
        <v>5.25</v>
      </c>
      <c r="P2" s="132">
        <v>3.25</v>
      </c>
      <c r="Q2" s="131">
        <v>5.25</v>
      </c>
      <c r="R2" s="132">
        <v>4.75</v>
      </c>
      <c r="S2" s="131">
        <v>6</v>
      </c>
      <c r="T2" s="132">
        <v>7.25</v>
      </c>
      <c r="U2" s="131">
        <f t="shared" ref="U2:U7" si="0">O2</f>
        <v>5.25</v>
      </c>
      <c r="V2" s="132">
        <v>1.5</v>
      </c>
    </row>
    <row r="3" spans="1:22" x14ac:dyDescent="0.25">
      <c r="C3" t="s">
        <v>144</v>
      </c>
      <c r="D3">
        <v>1.25</v>
      </c>
      <c r="H3">
        <v>2.15</v>
      </c>
      <c r="N3" s="130" t="s">
        <v>81</v>
      </c>
      <c r="O3" s="131">
        <v>0.5</v>
      </c>
      <c r="P3" s="132">
        <v>0.625</v>
      </c>
      <c r="Q3" s="131">
        <v>0.875</v>
      </c>
      <c r="R3" s="132">
        <v>0.75</v>
      </c>
      <c r="S3" s="131">
        <v>0.75</v>
      </c>
      <c r="T3" s="132">
        <v>0.75</v>
      </c>
      <c r="U3" s="131">
        <f t="shared" si="0"/>
        <v>0.5</v>
      </c>
      <c r="V3" s="132">
        <v>0.5</v>
      </c>
    </row>
    <row r="4" spans="1:22" x14ac:dyDescent="0.25">
      <c r="C4" t="s">
        <v>145</v>
      </c>
      <c r="D4">
        <v>4.25</v>
      </c>
      <c r="H4">
        <v>5</v>
      </c>
      <c r="N4" s="130" t="s">
        <v>85</v>
      </c>
      <c r="O4" s="131">
        <v>2.25</v>
      </c>
      <c r="P4" s="132">
        <v>3.25</v>
      </c>
      <c r="Q4" s="131">
        <v>4.25</v>
      </c>
      <c r="R4" s="132">
        <v>4.75</v>
      </c>
      <c r="S4" s="131">
        <v>6</v>
      </c>
      <c r="T4" s="132">
        <v>7.25</v>
      </c>
      <c r="U4" s="131">
        <f t="shared" si="0"/>
        <v>2.25</v>
      </c>
      <c r="V4" s="132"/>
    </row>
    <row r="5" spans="1:22" x14ac:dyDescent="0.25">
      <c r="C5" t="s">
        <v>134</v>
      </c>
      <c r="D5">
        <v>2.2999999999999998</v>
      </c>
      <c r="H5">
        <v>2.2999999999999998</v>
      </c>
      <c r="N5" s="130" t="s">
        <v>86</v>
      </c>
      <c r="O5" s="131">
        <v>0.5</v>
      </c>
      <c r="P5" s="132">
        <v>0.625</v>
      </c>
      <c r="Q5" s="131">
        <v>0.75</v>
      </c>
      <c r="R5" s="132">
        <v>0.75</v>
      </c>
      <c r="S5" s="131">
        <v>0.75</v>
      </c>
      <c r="T5" s="132">
        <v>0.75</v>
      </c>
      <c r="U5" s="131">
        <f t="shared" si="0"/>
        <v>0.5</v>
      </c>
      <c r="V5" s="132"/>
    </row>
    <row r="6" spans="1:22" x14ac:dyDescent="0.25">
      <c r="C6" t="s">
        <v>140</v>
      </c>
      <c r="D6">
        <v>11</v>
      </c>
      <c r="E6">
        <v>12.2</v>
      </c>
      <c r="F6">
        <v>12.2</v>
      </c>
      <c r="H6">
        <v>11</v>
      </c>
      <c r="N6" s="130" t="s">
        <v>87</v>
      </c>
      <c r="O6" s="131">
        <v>7</v>
      </c>
      <c r="P6" s="132">
        <v>4.25</v>
      </c>
      <c r="Q6" s="131">
        <v>7</v>
      </c>
      <c r="R6" s="132">
        <v>4.75</v>
      </c>
      <c r="S6" s="131">
        <v>6</v>
      </c>
      <c r="T6" s="132">
        <v>7.25</v>
      </c>
      <c r="U6" s="131">
        <f t="shared" si="0"/>
        <v>7</v>
      </c>
      <c r="V6" s="132">
        <v>2</v>
      </c>
    </row>
    <row r="7" spans="1:22" x14ac:dyDescent="0.25">
      <c r="C7" t="s">
        <v>146</v>
      </c>
      <c r="D7">
        <v>6.8</v>
      </c>
      <c r="E7">
        <v>7.6</v>
      </c>
      <c r="F7">
        <v>8</v>
      </c>
      <c r="H7">
        <v>6.8</v>
      </c>
      <c r="N7" s="130" t="s">
        <v>88</v>
      </c>
      <c r="O7" s="131">
        <v>0.75</v>
      </c>
      <c r="P7" s="132">
        <v>1</v>
      </c>
      <c r="Q7" s="131">
        <v>1.125</v>
      </c>
      <c r="R7" s="132">
        <v>0.75</v>
      </c>
      <c r="S7" s="131">
        <v>0.75</v>
      </c>
      <c r="T7" s="132">
        <v>0.75</v>
      </c>
      <c r="U7" s="131">
        <f t="shared" si="0"/>
        <v>0.75</v>
      </c>
      <c r="V7" s="132">
        <v>0.75</v>
      </c>
    </row>
    <row r="8" spans="1:22" x14ac:dyDescent="0.25">
      <c r="C8" t="s">
        <v>147</v>
      </c>
    </row>
    <row r="9" spans="1:22" x14ac:dyDescent="0.25">
      <c r="C9" t="s">
        <v>148</v>
      </c>
    </row>
    <row r="10" spans="1:22" x14ac:dyDescent="0.25">
      <c r="C10" t="s">
        <v>130</v>
      </c>
    </row>
    <row r="11" spans="1:22" x14ac:dyDescent="0.25">
      <c r="C11" t="s">
        <v>127</v>
      </c>
    </row>
    <row r="12" spans="1:22" x14ac:dyDescent="0.25">
      <c r="C12" t="s">
        <v>135</v>
      </c>
    </row>
    <row r="13" spans="1:22" x14ac:dyDescent="0.25">
      <c r="C13" t="s">
        <v>138</v>
      </c>
    </row>
    <row r="14" spans="1:22" x14ac:dyDescent="0.25">
      <c r="A14" s="87" t="s">
        <v>126</v>
      </c>
    </row>
    <row r="15" spans="1:22" x14ac:dyDescent="0.25">
      <c r="A15" s="86" t="s">
        <v>128</v>
      </c>
    </row>
    <row r="16" spans="1:22" x14ac:dyDescent="0.25">
      <c r="A16" s="87" t="s">
        <v>129</v>
      </c>
    </row>
    <row r="17" spans="1:3" x14ac:dyDescent="0.25">
      <c r="A17" s="86" t="s">
        <v>131</v>
      </c>
    </row>
    <row r="18" spans="1:3" x14ac:dyDescent="0.25">
      <c r="A18" s="87" t="s">
        <v>132</v>
      </c>
    </row>
    <row r="19" spans="1:3" x14ac:dyDescent="0.25">
      <c r="A19" s="86" t="s">
        <v>133</v>
      </c>
    </row>
    <row r="20" spans="1:3" x14ac:dyDescent="0.25">
      <c r="A20" s="87" t="s">
        <v>136</v>
      </c>
    </row>
    <row r="21" spans="1:3" x14ac:dyDescent="0.25">
      <c r="A21" s="86" t="s">
        <v>137</v>
      </c>
    </row>
    <row r="22" spans="1:3" x14ac:dyDescent="0.25">
      <c r="A22" s="87" t="s">
        <v>139</v>
      </c>
    </row>
    <row r="23" spans="1:3" x14ac:dyDescent="0.25">
      <c r="A23" s="86" t="s">
        <v>141</v>
      </c>
    </row>
    <row r="24" spans="1:3" x14ac:dyDescent="0.25">
      <c r="A24" s="87" t="s">
        <v>142</v>
      </c>
    </row>
    <row r="25" spans="1:3" x14ac:dyDescent="0.25">
      <c r="A25" s="86" t="s">
        <v>143</v>
      </c>
    </row>
    <row r="26" spans="1:3" x14ac:dyDescent="0.25">
      <c r="C26" t="s">
        <v>161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589A-375D-4528-B4B8-14DD6085653B}">
  <dimension ref="B2:AE50"/>
  <sheetViews>
    <sheetView tabSelected="1" topLeftCell="B1" workbookViewId="0">
      <selection activeCell="R22" sqref="R22"/>
    </sheetView>
  </sheetViews>
  <sheetFormatPr defaultRowHeight="15" x14ac:dyDescent="0.25"/>
  <cols>
    <col min="4" max="4" width="10" style="45" customWidth="1"/>
    <col min="18" max="19" width="11" customWidth="1"/>
    <col min="21" max="21" width="13.140625" bestFit="1" customWidth="1"/>
    <col min="27" max="27" width="15.42578125" customWidth="1"/>
    <col min="29" max="29" width="14.5703125" bestFit="1" customWidth="1"/>
    <col min="30" max="30" width="18.85546875" bestFit="1" customWidth="1"/>
  </cols>
  <sheetData>
    <row r="2" spans="2:31" x14ac:dyDescent="0.25">
      <c r="E2" s="50">
        <v>0</v>
      </c>
    </row>
    <row r="3" spans="2:31" x14ac:dyDescent="0.25">
      <c r="B3" s="46"/>
      <c r="E3" t="s">
        <v>4</v>
      </c>
      <c r="F3" t="s">
        <v>5</v>
      </c>
      <c r="G3" t="s">
        <v>6</v>
      </c>
      <c r="H3" t="s">
        <v>7</v>
      </c>
      <c r="AA3" t="s">
        <v>91</v>
      </c>
      <c r="AB3" t="s">
        <v>92</v>
      </c>
      <c r="AC3" t="s">
        <v>97</v>
      </c>
      <c r="AD3" t="s">
        <v>83</v>
      </c>
      <c r="AE3" t="s">
        <v>110</v>
      </c>
    </row>
    <row r="4" spans="2:31" x14ac:dyDescent="0.25">
      <c r="B4" s="47"/>
      <c r="D4" s="45" t="s">
        <v>3</v>
      </c>
      <c r="E4" t="s">
        <v>4</v>
      </c>
      <c r="F4" t="s">
        <v>5</v>
      </c>
      <c r="G4" t="s">
        <v>6</v>
      </c>
      <c r="H4" t="s">
        <v>7</v>
      </c>
      <c r="R4" t="s">
        <v>38</v>
      </c>
      <c r="S4" t="s">
        <v>39</v>
      </c>
      <c r="U4" t="s">
        <v>38</v>
      </c>
      <c r="V4" t="s">
        <v>41</v>
      </c>
      <c r="W4" t="s">
        <v>59</v>
      </c>
      <c r="Y4" t="s">
        <v>51</v>
      </c>
      <c r="AA4">
        <v>80</v>
      </c>
      <c r="AB4" t="s">
        <v>93</v>
      </c>
      <c r="AC4" t="s">
        <v>98</v>
      </c>
      <c r="AD4" t="s">
        <v>78</v>
      </c>
      <c r="AE4" t="s">
        <v>111</v>
      </c>
    </row>
    <row r="5" spans="2:31" x14ac:dyDescent="0.25">
      <c r="B5" s="48"/>
      <c r="D5" s="45">
        <v>0.75</v>
      </c>
      <c r="E5">
        <f t="shared" ref="E5:E50" si="0">K5*(1+$E$2)</f>
        <v>0.111</v>
      </c>
      <c r="F5">
        <f t="shared" ref="F5:F50" si="1">L5*(1+$E$2)</f>
        <v>0.13800000000000001</v>
      </c>
      <c r="G5">
        <f t="shared" ref="G5:G50" si="2">M5*(1+$E$2)</f>
        <v>0.16600000000000001</v>
      </c>
      <c r="H5">
        <f t="shared" ref="H5:H50" si="3">N5*(1+$E$2)</f>
        <v>0.222</v>
      </c>
      <c r="K5">
        <v>0.111</v>
      </c>
      <c r="L5">
        <v>0.13800000000000001</v>
      </c>
      <c r="M5">
        <v>0.16600000000000001</v>
      </c>
      <c r="N5">
        <v>0.222</v>
      </c>
      <c r="R5">
        <v>0</v>
      </c>
      <c r="S5">
        <v>1</v>
      </c>
      <c r="U5" t="s">
        <v>42</v>
      </c>
      <c r="V5" s="76">
        <v>0.85</v>
      </c>
      <c r="W5" t="s">
        <v>60</v>
      </c>
      <c r="Y5" t="s">
        <v>52</v>
      </c>
      <c r="AA5">
        <v>84</v>
      </c>
      <c r="AB5" t="s">
        <v>94</v>
      </c>
      <c r="AC5" t="s">
        <v>99</v>
      </c>
      <c r="AD5" t="s">
        <v>107</v>
      </c>
      <c r="AE5" t="s">
        <v>103</v>
      </c>
    </row>
    <row r="6" spans="2:31" x14ac:dyDescent="0.25">
      <c r="B6" s="45"/>
      <c r="D6" s="45">
        <v>1</v>
      </c>
      <c r="E6">
        <f t="shared" si="0"/>
        <v>0.14799999999999999</v>
      </c>
      <c r="F6">
        <f t="shared" si="1"/>
        <v>0.185</v>
      </c>
      <c r="G6">
        <f t="shared" si="2"/>
        <v>0.222</v>
      </c>
      <c r="H6">
        <f t="shared" si="3"/>
        <v>0.29499999999999998</v>
      </c>
      <c r="K6">
        <v>0.14799999999999999</v>
      </c>
      <c r="L6">
        <v>0.185</v>
      </c>
      <c r="M6">
        <v>0.222</v>
      </c>
      <c r="N6">
        <v>0.29499999999999998</v>
      </c>
      <c r="R6">
        <v>1</v>
      </c>
      <c r="S6">
        <v>1.25</v>
      </c>
      <c r="U6" t="s">
        <v>43</v>
      </c>
      <c r="V6" s="76">
        <v>1</v>
      </c>
      <c r="W6" t="s">
        <v>60</v>
      </c>
      <c r="Y6" t="s">
        <v>53</v>
      </c>
      <c r="AA6">
        <v>96</v>
      </c>
      <c r="AC6" t="s">
        <v>100</v>
      </c>
      <c r="AD6" t="s">
        <v>82</v>
      </c>
      <c r="AE6" t="s">
        <v>112</v>
      </c>
    </row>
    <row r="7" spans="2:31" x14ac:dyDescent="0.25">
      <c r="B7" s="45"/>
      <c r="D7" s="45">
        <v>1.125</v>
      </c>
      <c r="E7">
        <f t="shared" si="0"/>
        <v>0.12551984877126657</v>
      </c>
      <c r="F7">
        <f t="shared" si="1"/>
        <v>0.20799999999999999</v>
      </c>
      <c r="G7">
        <f t="shared" si="2"/>
        <v>0.24900000000000003</v>
      </c>
      <c r="H7">
        <f t="shared" si="3"/>
        <v>0.33200000000000002</v>
      </c>
      <c r="K7">
        <v>0.12551984877126657</v>
      </c>
      <c r="L7">
        <v>0.20799999999999999</v>
      </c>
      <c r="M7">
        <v>0.24900000000000003</v>
      </c>
      <c r="N7">
        <v>0.33200000000000002</v>
      </c>
      <c r="R7">
        <v>1.25</v>
      </c>
      <c r="S7">
        <v>1.5</v>
      </c>
      <c r="U7" t="s">
        <v>44</v>
      </c>
      <c r="V7" s="76">
        <v>1.1499999999999999</v>
      </c>
      <c r="W7" t="s">
        <v>60</v>
      </c>
      <c r="Y7" t="s">
        <v>54</v>
      </c>
      <c r="AC7" t="s">
        <v>103</v>
      </c>
    </row>
    <row r="8" spans="2:31" x14ac:dyDescent="0.25">
      <c r="B8" s="45"/>
      <c r="D8" s="45">
        <v>1.25</v>
      </c>
      <c r="E8">
        <f t="shared" si="0"/>
        <v>0.185</v>
      </c>
      <c r="F8">
        <f t="shared" si="1"/>
        <v>0.23100000000000001</v>
      </c>
      <c r="G8">
        <f t="shared" si="2"/>
        <v>0.27700000000000002</v>
      </c>
      <c r="H8">
        <f t="shared" si="3"/>
        <v>0.36899999999999999</v>
      </c>
      <c r="K8">
        <v>0.185</v>
      </c>
      <c r="L8">
        <v>0.23100000000000001</v>
      </c>
      <c r="M8">
        <v>0.27700000000000002</v>
      </c>
      <c r="N8">
        <v>0.36899999999999999</v>
      </c>
      <c r="R8">
        <v>1.5</v>
      </c>
      <c r="S8">
        <v>2</v>
      </c>
      <c r="U8" t="s">
        <v>45</v>
      </c>
      <c r="V8" s="76">
        <v>2</v>
      </c>
      <c r="W8" t="s">
        <v>61</v>
      </c>
      <c r="Y8" t="s">
        <v>55</v>
      </c>
    </row>
    <row r="9" spans="2:31" x14ac:dyDescent="0.25">
      <c r="B9" s="45"/>
      <c r="D9" s="45">
        <v>1.375</v>
      </c>
      <c r="E9">
        <f t="shared" si="0"/>
        <v>0.20300000000000001</v>
      </c>
      <c r="F9">
        <f t="shared" si="1"/>
        <v>0.254</v>
      </c>
      <c r="G9">
        <f t="shared" si="2"/>
        <v>0.30499999999999999</v>
      </c>
      <c r="H9">
        <f t="shared" si="3"/>
        <v>0.40600000000000003</v>
      </c>
      <c r="K9">
        <v>0.20300000000000001</v>
      </c>
      <c r="L9">
        <v>0.254</v>
      </c>
      <c r="M9">
        <v>0.30499999999999999</v>
      </c>
      <c r="N9">
        <v>0.40600000000000003</v>
      </c>
      <c r="R9">
        <v>2</v>
      </c>
      <c r="S9" t="s">
        <v>40</v>
      </c>
      <c r="U9" t="s">
        <v>46</v>
      </c>
      <c r="V9" s="76">
        <v>2.25</v>
      </c>
      <c r="W9" t="s">
        <v>61</v>
      </c>
      <c r="Y9" t="s">
        <v>56</v>
      </c>
    </row>
    <row r="10" spans="2:31" x14ac:dyDescent="0.25">
      <c r="B10" s="45"/>
      <c r="D10" s="45">
        <v>1.5</v>
      </c>
      <c r="E10">
        <f t="shared" si="0"/>
        <v>0.222</v>
      </c>
      <c r="F10">
        <f t="shared" si="1"/>
        <v>0.27700000000000002</v>
      </c>
      <c r="G10">
        <f t="shared" si="2"/>
        <v>0.33200000000000002</v>
      </c>
      <c r="H10">
        <f t="shared" si="3"/>
        <v>0.443</v>
      </c>
      <c r="K10">
        <v>0.222</v>
      </c>
      <c r="L10">
        <v>0.27700000000000002</v>
      </c>
      <c r="M10">
        <v>0.33200000000000002</v>
      </c>
      <c r="N10">
        <v>0.443</v>
      </c>
      <c r="U10" t="s">
        <v>47</v>
      </c>
      <c r="V10" s="76">
        <v>2.5</v>
      </c>
      <c r="W10" t="s">
        <v>61</v>
      </c>
      <c r="Y10" t="s">
        <v>57</v>
      </c>
    </row>
    <row r="11" spans="2:31" x14ac:dyDescent="0.25">
      <c r="B11" s="45"/>
      <c r="D11" s="45">
        <v>1.625</v>
      </c>
      <c r="E11">
        <f t="shared" si="0"/>
        <v>0.24</v>
      </c>
      <c r="F11">
        <f t="shared" si="1"/>
        <v>0.3</v>
      </c>
      <c r="G11">
        <f t="shared" si="2"/>
        <v>0.36</v>
      </c>
      <c r="H11">
        <f t="shared" si="3"/>
        <v>0.48</v>
      </c>
      <c r="K11">
        <v>0.24</v>
      </c>
      <c r="L11">
        <v>0.3</v>
      </c>
      <c r="M11">
        <v>0.36</v>
      </c>
      <c r="N11">
        <v>0.48</v>
      </c>
      <c r="V11" s="76">
        <v>0</v>
      </c>
      <c r="Y11" t="s">
        <v>58</v>
      </c>
    </row>
    <row r="12" spans="2:31" x14ac:dyDescent="0.25">
      <c r="B12" s="45"/>
      <c r="D12" s="45">
        <v>1.75</v>
      </c>
      <c r="E12">
        <f t="shared" si="0"/>
        <v>0.25800000000000001</v>
      </c>
      <c r="F12">
        <f t="shared" si="1"/>
        <v>0.32300000000000001</v>
      </c>
      <c r="G12">
        <f t="shared" si="2"/>
        <v>0.38800000000000001</v>
      </c>
      <c r="H12">
        <f t="shared" si="3"/>
        <v>0.51700000000000002</v>
      </c>
      <c r="K12">
        <v>0.25800000000000001</v>
      </c>
      <c r="L12">
        <v>0.32300000000000001</v>
      </c>
      <c r="M12">
        <v>0.38800000000000001</v>
      </c>
      <c r="N12">
        <v>0.51700000000000002</v>
      </c>
      <c r="Y12" t="s">
        <v>77</v>
      </c>
    </row>
    <row r="13" spans="2:31" x14ac:dyDescent="0.25">
      <c r="B13" s="45"/>
      <c r="D13" s="45">
        <v>1.875</v>
      </c>
      <c r="E13">
        <f t="shared" si="0"/>
        <v>0.27700000000000002</v>
      </c>
      <c r="F13">
        <f t="shared" si="1"/>
        <v>0.34599999999999997</v>
      </c>
      <c r="G13">
        <f t="shared" si="2"/>
        <v>0.41499999999999998</v>
      </c>
      <c r="H13">
        <f t="shared" si="3"/>
        <v>0.55400000000000005</v>
      </c>
      <c r="K13">
        <v>0.27700000000000002</v>
      </c>
      <c r="L13">
        <v>0.34599999999999997</v>
      </c>
      <c r="M13">
        <v>0.41499999999999998</v>
      </c>
      <c r="N13">
        <v>0.55400000000000005</v>
      </c>
    </row>
    <row r="14" spans="2:31" x14ac:dyDescent="0.25">
      <c r="B14" s="45"/>
      <c r="D14" s="45">
        <v>2</v>
      </c>
      <c r="E14">
        <f t="shared" si="0"/>
        <v>0.28000000000000003</v>
      </c>
      <c r="F14">
        <f t="shared" si="1"/>
        <v>0.35099999999999998</v>
      </c>
      <c r="G14">
        <f t="shared" si="2"/>
        <v>0.42099999999999999</v>
      </c>
      <c r="H14">
        <f t="shared" si="3"/>
        <v>0.56100000000000005</v>
      </c>
      <c r="K14">
        <v>0.28000000000000003</v>
      </c>
      <c r="L14">
        <v>0.35099999999999998</v>
      </c>
      <c r="M14">
        <v>0.42099999999999999</v>
      </c>
      <c r="N14">
        <v>0.56100000000000005</v>
      </c>
    </row>
    <row r="15" spans="2:31" x14ac:dyDescent="0.25">
      <c r="B15" s="45"/>
      <c r="D15" s="45">
        <v>2.125</v>
      </c>
      <c r="E15">
        <f t="shared" si="0"/>
        <v>0.28499999999999998</v>
      </c>
      <c r="F15">
        <f t="shared" si="1"/>
        <v>0.35599999999999998</v>
      </c>
      <c r="G15">
        <f t="shared" si="2"/>
        <v>0.42699999999999999</v>
      </c>
      <c r="H15">
        <f t="shared" si="3"/>
        <v>0.56899999999999995</v>
      </c>
      <c r="K15">
        <v>0.28499999999999998</v>
      </c>
      <c r="L15">
        <v>0.35599999999999998</v>
      </c>
      <c r="M15">
        <v>0.42699999999999999</v>
      </c>
      <c r="N15">
        <v>0.56899999999999995</v>
      </c>
    </row>
    <row r="16" spans="2:31" x14ac:dyDescent="0.25">
      <c r="B16" s="45"/>
      <c r="D16" s="45">
        <v>2.25</v>
      </c>
      <c r="E16">
        <f t="shared" si="0"/>
        <v>0.30099999999999999</v>
      </c>
      <c r="F16">
        <f t="shared" si="1"/>
        <v>0.377</v>
      </c>
      <c r="G16">
        <f t="shared" si="2"/>
        <v>0.45199999999999996</v>
      </c>
      <c r="H16">
        <f t="shared" si="3"/>
        <v>0.60299999999999998</v>
      </c>
      <c r="K16">
        <v>0.30099999999999999</v>
      </c>
      <c r="L16">
        <v>0.377</v>
      </c>
      <c r="M16">
        <v>0.45199999999999996</v>
      </c>
      <c r="N16">
        <v>0.60299999999999998</v>
      </c>
    </row>
    <row r="17" spans="2:21" x14ac:dyDescent="0.25">
      <c r="B17" s="45"/>
      <c r="D17" s="45">
        <v>2.375</v>
      </c>
      <c r="E17">
        <f t="shared" si="0"/>
        <v>0.318</v>
      </c>
      <c r="F17">
        <f t="shared" si="1"/>
        <v>0.39700000000000002</v>
      </c>
      <c r="G17">
        <f t="shared" si="2"/>
        <v>0.47700000000000004</v>
      </c>
      <c r="H17">
        <f t="shared" si="3"/>
        <v>0.63600000000000001</v>
      </c>
      <c r="K17">
        <v>0.318</v>
      </c>
      <c r="L17">
        <v>0.39700000000000002</v>
      </c>
      <c r="M17">
        <v>0.47700000000000004</v>
      </c>
      <c r="N17">
        <v>0.63600000000000001</v>
      </c>
    </row>
    <row r="18" spans="2:21" x14ac:dyDescent="0.25">
      <c r="B18" s="45"/>
      <c r="D18" s="45">
        <v>2.5</v>
      </c>
      <c r="E18">
        <f t="shared" si="0"/>
        <v>0.33500000000000002</v>
      </c>
      <c r="F18">
        <f t="shared" si="1"/>
        <v>0.41799999999999998</v>
      </c>
      <c r="G18">
        <f t="shared" si="2"/>
        <v>0.502</v>
      </c>
      <c r="H18">
        <f t="shared" si="3"/>
        <v>0.66900000000000004</v>
      </c>
      <c r="K18">
        <v>0.33500000000000002</v>
      </c>
      <c r="L18">
        <v>0.41799999999999998</v>
      </c>
      <c r="M18">
        <v>0.502</v>
      </c>
      <c r="N18">
        <v>0.66900000000000004</v>
      </c>
      <c r="T18" t="s">
        <v>62</v>
      </c>
      <c r="U18" t="str">
        <f>INDEX(finish[Help],MATCH(T18,finish[Finish],0))</f>
        <v>Primed</v>
      </c>
    </row>
    <row r="19" spans="2:21" x14ac:dyDescent="0.25">
      <c r="B19" s="45"/>
      <c r="D19" s="45">
        <v>2.625</v>
      </c>
      <c r="E19">
        <f t="shared" si="0"/>
        <v>0.35099999999999998</v>
      </c>
      <c r="F19">
        <f t="shared" si="1"/>
        <v>0.43899999999999995</v>
      </c>
      <c r="G19">
        <f t="shared" si="2"/>
        <v>0.52700000000000002</v>
      </c>
      <c r="H19">
        <f t="shared" si="3"/>
        <v>0.70299999999999996</v>
      </c>
      <c r="K19">
        <v>0.35099999999999998</v>
      </c>
      <c r="L19">
        <v>0.43899999999999995</v>
      </c>
      <c r="M19">
        <v>0.52700000000000002</v>
      </c>
      <c r="N19">
        <v>0.70299999999999996</v>
      </c>
    </row>
    <row r="20" spans="2:21" x14ac:dyDescent="0.25">
      <c r="B20" s="45"/>
      <c r="D20" s="45">
        <v>2.75</v>
      </c>
      <c r="E20">
        <f t="shared" si="0"/>
        <v>0.36799999999999999</v>
      </c>
      <c r="F20">
        <f t="shared" si="1"/>
        <v>0.46000000000000008</v>
      </c>
      <c r="G20">
        <f t="shared" si="2"/>
        <v>0.55200000000000005</v>
      </c>
      <c r="H20">
        <f t="shared" si="3"/>
        <v>0.73599999999999999</v>
      </c>
      <c r="K20">
        <v>0.36799999999999999</v>
      </c>
      <c r="L20">
        <v>0.46000000000000008</v>
      </c>
      <c r="M20">
        <v>0.55200000000000005</v>
      </c>
      <c r="N20">
        <v>0.73599999999999999</v>
      </c>
    </row>
    <row r="21" spans="2:21" x14ac:dyDescent="0.25">
      <c r="B21" s="45"/>
      <c r="D21" s="45">
        <v>2.875</v>
      </c>
      <c r="E21">
        <f t="shared" si="0"/>
        <v>0.38500000000000001</v>
      </c>
      <c r="F21">
        <f t="shared" si="1"/>
        <v>0.48099999999999998</v>
      </c>
      <c r="G21">
        <f t="shared" si="2"/>
        <v>0.57699999999999996</v>
      </c>
      <c r="H21">
        <f t="shared" si="3"/>
        <v>0.77</v>
      </c>
      <c r="K21">
        <v>0.38500000000000001</v>
      </c>
      <c r="L21">
        <v>0.48099999999999998</v>
      </c>
      <c r="M21">
        <v>0.57699999999999996</v>
      </c>
      <c r="N21">
        <v>0.77</v>
      </c>
    </row>
    <row r="22" spans="2:21" x14ac:dyDescent="0.25">
      <c r="B22" s="45"/>
      <c r="D22" s="45">
        <v>3</v>
      </c>
      <c r="E22">
        <f t="shared" si="0"/>
        <v>0.40200000000000002</v>
      </c>
      <c r="F22">
        <f t="shared" si="1"/>
        <v>0.502</v>
      </c>
      <c r="G22">
        <f t="shared" si="2"/>
        <v>0.60299999999999998</v>
      </c>
      <c r="H22">
        <f t="shared" si="3"/>
        <v>0.80300000000000005</v>
      </c>
      <c r="K22">
        <v>0.40200000000000002</v>
      </c>
      <c r="L22">
        <v>0.502</v>
      </c>
      <c r="M22">
        <v>0.60299999999999998</v>
      </c>
      <c r="N22">
        <v>0.80300000000000005</v>
      </c>
    </row>
    <row r="23" spans="2:21" x14ac:dyDescent="0.25">
      <c r="B23" s="45"/>
      <c r="D23" s="45">
        <v>3.125</v>
      </c>
      <c r="E23">
        <f t="shared" si="0"/>
        <v>0.41799999999999998</v>
      </c>
      <c r="F23">
        <f t="shared" si="1"/>
        <v>0.52300000000000002</v>
      </c>
      <c r="G23">
        <f t="shared" si="2"/>
        <v>0.628</v>
      </c>
      <c r="H23">
        <f t="shared" si="3"/>
        <v>0.83699999999999997</v>
      </c>
      <c r="K23">
        <v>0.41799999999999998</v>
      </c>
      <c r="L23">
        <v>0.52300000000000002</v>
      </c>
      <c r="M23">
        <v>0.628</v>
      </c>
      <c r="N23">
        <v>0.83699999999999997</v>
      </c>
    </row>
    <row r="24" spans="2:21" x14ac:dyDescent="0.25">
      <c r="B24" s="45"/>
      <c r="D24" s="45">
        <v>3.25</v>
      </c>
      <c r="E24">
        <f t="shared" si="0"/>
        <v>0.435</v>
      </c>
      <c r="F24">
        <f t="shared" si="1"/>
        <v>0.54400000000000004</v>
      </c>
      <c r="G24">
        <f t="shared" si="2"/>
        <v>0.65300000000000002</v>
      </c>
      <c r="H24">
        <f t="shared" si="3"/>
        <v>0.87</v>
      </c>
      <c r="K24">
        <v>0.435</v>
      </c>
      <c r="L24">
        <v>0.54400000000000004</v>
      </c>
      <c r="M24">
        <v>0.65300000000000002</v>
      </c>
      <c r="N24">
        <v>0.87</v>
      </c>
    </row>
    <row r="25" spans="2:21" x14ac:dyDescent="0.25">
      <c r="B25" s="45"/>
      <c r="D25" s="45">
        <v>3.375</v>
      </c>
      <c r="E25">
        <f t="shared" si="0"/>
        <v>0.45199999999999996</v>
      </c>
      <c r="F25">
        <f t="shared" si="1"/>
        <v>0.56499999999999995</v>
      </c>
      <c r="G25">
        <f t="shared" si="2"/>
        <v>0.67800000000000005</v>
      </c>
      <c r="H25">
        <f t="shared" si="3"/>
        <v>0.90399999999999991</v>
      </c>
      <c r="K25">
        <v>0.45199999999999996</v>
      </c>
      <c r="L25">
        <v>0.56499999999999995</v>
      </c>
      <c r="M25">
        <v>0.67800000000000005</v>
      </c>
      <c r="N25">
        <v>0.90399999999999991</v>
      </c>
    </row>
    <row r="26" spans="2:21" x14ac:dyDescent="0.25">
      <c r="B26" s="45"/>
      <c r="D26" s="45">
        <v>3.5</v>
      </c>
      <c r="E26">
        <f t="shared" si="0"/>
        <v>0.46899999999999992</v>
      </c>
      <c r="F26">
        <f t="shared" si="1"/>
        <v>0.58599999999999997</v>
      </c>
      <c r="G26">
        <f t="shared" si="2"/>
        <v>0.70299999999999996</v>
      </c>
      <c r="H26">
        <f t="shared" si="3"/>
        <v>0.93700000000000006</v>
      </c>
      <c r="K26">
        <v>0.46899999999999992</v>
      </c>
      <c r="L26">
        <v>0.58599999999999997</v>
      </c>
      <c r="M26">
        <v>0.70299999999999996</v>
      </c>
      <c r="N26">
        <v>0.93700000000000006</v>
      </c>
    </row>
    <row r="27" spans="2:21" x14ac:dyDescent="0.25">
      <c r="B27" s="45"/>
      <c r="D27" s="45">
        <v>3.625</v>
      </c>
      <c r="E27">
        <f t="shared" si="0"/>
        <v>0.48499999999999999</v>
      </c>
      <c r="F27">
        <f t="shared" si="1"/>
        <v>0.60699999999999998</v>
      </c>
      <c r="G27">
        <f t="shared" si="2"/>
        <v>0.72799999999999998</v>
      </c>
      <c r="H27">
        <f t="shared" si="3"/>
        <v>0.97099999999999997</v>
      </c>
      <c r="K27">
        <v>0.48499999999999999</v>
      </c>
      <c r="L27">
        <v>0.60699999999999998</v>
      </c>
      <c r="M27">
        <v>0.72799999999999998</v>
      </c>
      <c r="N27">
        <v>0.97099999999999997</v>
      </c>
    </row>
    <row r="28" spans="2:21" x14ac:dyDescent="0.25">
      <c r="B28" s="45"/>
      <c r="D28" s="45">
        <v>3.75</v>
      </c>
      <c r="E28">
        <f t="shared" si="0"/>
        <v>0.502</v>
      </c>
      <c r="F28">
        <f t="shared" si="1"/>
        <v>0.628</v>
      </c>
      <c r="G28">
        <f t="shared" si="2"/>
        <v>0.753</v>
      </c>
      <c r="H28">
        <f t="shared" si="3"/>
        <v>1.004</v>
      </c>
      <c r="K28">
        <v>0.502</v>
      </c>
      <c r="L28">
        <v>0.628</v>
      </c>
      <c r="M28">
        <v>0.753</v>
      </c>
      <c r="N28">
        <v>1.004</v>
      </c>
    </row>
    <row r="29" spans="2:21" x14ac:dyDescent="0.25">
      <c r="B29" s="45"/>
      <c r="D29" s="45">
        <v>3.875</v>
      </c>
      <c r="E29">
        <f t="shared" si="0"/>
        <v>0.51900000000000002</v>
      </c>
      <c r="F29">
        <f t="shared" si="1"/>
        <v>0.64900000000000002</v>
      </c>
      <c r="G29">
        <f t="shared" si="2"/>
        <v>0.77800000000000002</v>
      </c>
      <c r="H29">
        <f t="shared" si="3"/>
        <v>1.038</v>
      </c>
      <c r="K29">
        <v>0.51900000000000002</v>
      </c>
      <c r="L29">
        <v>0.64900000000000002</v>
      </c>
      <c r="M29">
        <v>0.77800000000000002</v>
      </c>
      <c r="N29">
        <v>1.038</v>
      </c>
    </row>
    <row r="30" spans="2:21" x14ac:dyDescent="0.25">
      <c r="B30" s="45"/>
      <c r="D30" s="45">
        <v>4</v>
      </c>
      <c r="E30">
        <f t="shared" si="0"/>
        <v>0.52900000000000003</v>
      </c>
      <c r="F30">
        <f t="shared" si="1"/>
        <v>0.66100000000000003</v>
      </c>
      <c r="G30">
        <f t="shared" si="2"/>
        <v>0.79300000000000004</v>
      </c>
      <c r="H30">
        <f t="shared" si="3"/>
        <v>1.0580000000000001</v>
      </c>
      <c r="K30">
        <v>0.52900000000000003</v>
      </c>
      <c r="L30">
        <v>0.66100000000000003</v>
      </c>
      <c r="M30">
        <v>0.79300000000000004</v>
      </c>
      <c r="N30">
        <v>1.0580000000000001</v>
      </c>
    </row>
    <row r="31" spans="2:21" x14ac:dyDescent="0.25">
      <c r="B31" s="45"/>
      <c r="D31" s="45">
        <v>4.25</v>
      </c>
      <c r="E31">
        <f t="shared" si="0"/>
        <v>0.55000000000000004</v>
      </c>
      <c r="F31">
        <f t="shared" si="1"/>
        <v>0.68700000000000006</v>
      </c>
      <c r="G31">
        <f t="shared" si="2"/>
        <v>0.82499999999999996</v>
      </c>
      <c r="H31">
        <f t="shared" si="3"/>
        <v>1.1000000000000001</v>
      </c>
      <c r="K31">
        <v>0.55000000000000004</v>
      </c>
      <c r="L31">
        <v>0.68700000000000006</v>
      </c>
      <c r="M31">
        <v>0.82499999999999996</v>
      </c>
      <c r="N31">
        <v>1.1000000000000001</v>
      </c>
    </row>
    <row r="32" spans="2:21" x14ac:dyDescent="0.25">
      <c r="B32" s="45"/>
      <c r="D32" s="45">
        <v>4.5</v>
      </c>
      <c r="E32">
        <f t="shared" si="0"/>
        <v>0.57099999999999995</v>
      </c>
      <c r="F32">
        <f t="shared" si="1"/>
        <v>0.71399999999999997</v>
      </c>
      <c r="G32">
        <f t="shared" si="2"/>
        <v>0.85699999999999998</v>
      </c>
      <c r="H32">
        <f t="shared" si="3"/>
        <v>1.143</v>
      </c>
      <c r="K32">
        <v>0.57099999999999995</v>
      </c>
      <c r="L32">
        <v>0.71399999999999997</v>
      </c>
      <c r="M32">
        <v>0.85699999999999998</v>
      </c>
      <c r="N32">
        <v>1.143</v>
      </c>
    </row>
    <row r="33" spans="2:17" x14ac:dyDescent="0.25">
      <c r="B33" s="45"/>
      <c r="D33" s="45">
        <v>4.75</v>
      </c>
      <c r="E33">
        <f>K33*(1+$E$2)</f>
        <v>0.57099999999999995</v>
      </c>
      <c r="F33">
        <f>L33*(1+$E$2)</f>
        <v>0.71399999999999997</v>
      </c>
      <c r="G33">
        <f>M33*(1+$E$2)</f>
        <v>0.85699999999999998</v>
      </c>
      <c r="H33">
        <f>N33*(1+$E$2)</f>
        <v>1.143</v>
      </c>
      <c r="K33">
        <v>0.57099999999999995</v>
      </c>
      <c r="L33">
        <v>0.71399999999999997</v>
      </c>
      <c r="M33">
        <v>0.85699999999999998</v>
      </c>
      <c r="N33">
        <v>1.143</v>
      </c>
    </row>
    <row r="34" spans="2:17" x14ac:dyDescent="0.25">
      <c r="B34" s="2"/>
      <c r="C34" s="1"/>
      <c r="D34" s="45">
        <v>5</v>
      </c>
      <c r="E34">
        <f t="shared" si="0"/>
        <v>0.61399999999999999</v>
      </c>
      <c r="F34">
        <f t="shared" si="1"/>
        <v>0.76800000000000002</v>
      </c>
      <c r="G34">
        <f t="shared" si="2"/>
        <v>0.92200000000000004</v>
      </c>
      <c r="H34">
        <f t="shared" si="3"/>
        <v>1.2290000000000001</v>
      </c>
      <c r="K34">
        <v>0.61399999999999999</v>
      </c>
      <c r="L34">
        <v>0.76800000000000002</v>
      </c>
      <c r="M34">
        <v>0.92200000000000004</v>
      </c>
      <c r="N34">
        <v>1.2290000000000001</v>
      </c>
    </row>
    <row r="35" spans="2:17" x14ac:dyDescent="0.25">
      <c r="B35" s="2"/>
      <c r="C35" s="1"/>
      <c r="D35" s="45">
        <v>5.25</v>
      </c>
      <c r="E35">
        <f t="shared" si="0"/>
        <v>0.63600000000000001</v>
      </c>
      <c r="F35">
        <f t="shared" si="1"/>
        <v>0.79500000000000004</v>
      </c>
      <c r="G35">
        <f t="shared" si="2"/>
        <v>0.95400000000000007</v>
      </c>
      <c r="H35">
        <f t="shared" si="3"/>
        <v>1.2709999999999999</v>
      </c>
      <c r="K35">
        <v>0.63600000000000001</v>
      </c>
      <c r="L35">
        <v>0.79500000000000004</v>
      </c>
      <c r="M35">
        <v>0.95400000000000007</v>
      </c>
      <c r="N35">
        <v>1.2709999999999999</v>
      </c>
    </row>
    <row r="36" spans="2:17" x14ac:dyDescent="0.25">
      <c r="D36" s="45">
        <v>5.5</v>
      </c>
      <c r="E36">
        <f t="shared" si="0"/>
        <v>0.65700000000000003</v>
      </c>
      <c r="F36">
        <f t="shared" si="1"/>
        <v>0.82199999999999995</v>
      </c>
      <c r="G36">
        <f t="shared" si="2"/>
        <v>0.98599999999999999</v>
      </c>
      <c r="H36">
        <f t="shared" si="3"/>
        <v>1.3149999999999999</v>
      </c>
      <c r="K36">
        <v>0.65700000000000003</v>
      </c>
      <c r="L36">
        <v>0.82199999999999995</v>
      </c>
      <c r="M36">
        <v>0.98599999999999999</v>
      </c>
      <c r="N36">
        <v>1.3149999999999999</v>
      </c>
    </row>
    <row r="37" spans="2:17" x14ac:dyDescent="0.25">
      <c r="D37" s="45">
        <v>5.75</v>
      </c>
      <c r="E37">
        <f t="shared" si="0"/>
        <v>0.67900000000000005</v>
      </c>
      <c r="F37">
        <f t="shared" si="1"/>
        <v>0.84799999999999998</v>
      </c>
      <c r="G37">
        <f t="shared" si="2"/>
        <v>1.018</v>
      </c>
      <c r="H37">
        <f t="shared" si="3"/>
        <v>1.357</v>
      </c>
      <c r="K37">
        <v>0.67900000000000005</v>
      </c>
      <c r="L37">
        <v>0.84799999999999998</v>
      </c>
      <c r="M37">
        <v>1.018</v>
      </c>
      <c r="N37">
        <v>1.357</v>
      </c>
    </row>
    <row r="38" spans="2:17" x14ac:dyDescent="0.25">
      <c r="D38" s="45">
        <v>6</v>
      </c>
      <c r="E38">
        <f t="shared" si="0"/>
        <v>0.7</v>
      </c>
      <c r="F38">
        <f t="shared" si="1"/>
        <v>0.875</v>
      </c>
      <c r="G38">
        <f t="shared" si="2"/>
        <v>1.05</v>
      </c>
      <c r="H38">
        <f t="shared" si="3"/>
        <v>1.4</v>
      </c>
      <c r="K38">
        <v>0.7</v>
      </c>
      <c r="L38">
        <v>0.875</v>
      </c>
      <c r="M38">
        <v>1.05</v>
      </c>
      <c r="N38">
        <v>1.4</v>
      </c>
    </row>
    <row r="39" spans="2:17" x14ac:dyDescent="0.25">
      <c r="D39" s="45">
        <v>6.25</v>
      </c>
      <c r="E39">
        <f t="shared" si="0"/>
        <v>0.72199999999999998</v>
      </c>
      <c r="F39">
        <f t="shared" si="1"/>
        <v>0.90299999999999991</v>
      </c>
      <c r="G39">
        <f t="shared" si="2"/>
        <v>1.083</v>
      </c>
      <c r="H39">
        <f t="shared" si="3"/>
        <v>1.444</v>
      </c>
      <c r="K39">
        <v>0.72199999999999998</v>
      </c>
      <c r="L39">
        <v>0.90299999999999991</v>
      </c>
      <c r="M39">
        <v>1.083</v>
      </c>
      <c r="N39">
        <v>1.444</v>
      </c>
    </row>
    <row r="40" spans="2:17" x14ac:dyDescent="0.25">
      <c r="D40" s="45">
        <v>6.5</v>
      </c>
      <c r="E40">
        <f t="shared" si="0"/>
        <v>0.74299999999999999</v>
      </c>
      <c r="F40">
        <f t="shared" si="1"/>
        <v>0.92900000000000005</v>
      </c>
      <c r="G40">
        <f t="shared" si="2"/>
        <v>1.1140000000000001</v>
      </c>
      <c r="H40">
        <f t="shared" si="3"/>
        <v>1.486</v>
      </c>
      <c r="K40">
        <v>0.74299999999999999</v>
      </c>
      <c r="L40">
        <v>0.92900000000000005</v>
      </c>
      <c r="M40">
        <v>1.1140000000000001</v>
      </c>
      <c r="N40">
        <v>1.486</v>
      </c>
    </row>
    <row r="41" spans="2:17" x14ac:dyDescent="0.25">
      <c r="D41" s="45">
        <v>6.75</v>
      </c>
      <c r="E41">
        <f t="shared" si="0"/>
        <v>0.76500000000000001</v>
      </c>
      <c r="F41">
        <f t="shared" si="1"/>
        <v>0.95599999999999996</v>
      </c>
      <c r="G41">
        <f t="shared" si="2"/>
        <v>1.1479999999999999</v>
      </c>
      <c r="H41">
        <f t="shared" si="3"/>
        <v>1.53</v>
      </c>
      <c r="K41">
        <v>0.76500000000000001</v>
      </c>
      <c r="L41">
        <v>0.95599999999999996</v>
      </c>
      <c r="M41">
        <v>1.1479999999999999</v>
      </c>
      <c r="N41">
        <v>1.53</v>
      </c>
    </row>
    <row r="42" spans="2:17" x14ac:dyDescent="0.25">
      <c r="D42" s="45">
        <v>7</v>
      </c>
      <c r="E42">
        <f t="shared" si="0"/>
        <v>0.78700000000000003</v>
      </c>
      <c r="F42">
        <f t="shared" si="1"/>
        <v>0.98399999999999999</v>
      </c>
      <c r="G42">
        <f t="shared" si="2"/>
        <v>1.181</v>
      </c>
      <c r="H42">
        <f t="shared" si="3"/>
        <v>1.5740000000000001</v>
      </c>
      <c r="K42">
        <v>0.78700000000000003</v>
      </c>
      <c r="L42">
        <v>0.98399999999999999</v>
      </c>
      <c r="M42">
        <v>1.181</v>
      </c>
      <c r="N42">
        <v>1.5740000000000001</v>
      </c>
    </row>
    <row r="43" spans="2:17" x14ac:dyDescent="0.25">
      <c r="D43" s="45">
        <v>7.25</v>
      </c>
      <c r="E43">
        <f t="shared" si="0"/>
        <v>0.80900000000000005</v>
      </c>
      <c r="F43">
        <f t="shared" si="1"/>
        <v>1.0109999999999999</v>
      </c>
      <c r="G43">
        <f t="shared" si="2"/>
        <v>1.2130000000000001</v>
      </c>
      <c r="H43">
        <f t="shared" si="3"/>
        <v>1.617</v>
      </c>
      <c r="K43">
        <v>0.80900000000000005</v>
      </c>
      <c r="L43">
        <v>1.0109999999999999</v>
      </c>
      <c r="M43">
        <v>1.2130000000000001</v>
      </c>
      <c r="N43">
        <v>1.617</v>
      </c>
      <c r="Q43" t="s">
        <v>25</v>
      </c>
    </row>
    <row r="44" spans="2:17" x14ac:dyDescent="0.25">
      <c r="D44" s="45">
        <v>7.5</v>
      </c>
      <c r="E44">
        <f t="shared" si="0"/>
        <v>0.82899999999999996</v>
      </c>
      <c r="F44">
        <f t="shared" si="1"/>
        <v>1.036</v>
      </c>
      <c r="G44">
        <f t="shared" si="2"/>
        <v>1.2430000000000001</v>
      </c>
      <c r="H44">
        <f t="shared" si="3"/>
        <v>1.657</v>
      </c>
      <c r="K44">
        <v>0.82899999999999996</v>
      </c>
      <c r="L44">
        <v>1.036</v>
      </c>
      <c r="M44">
        <v>1.2430000000000001</v>
      </c>
      <c r="N44">
        <v>1.657</v>
      </c>
    </row>
    <row r="45" spans="2:17" x14ac:dyDescent="0.25">
      <c r="D45" s="45">
        <v>7.75</v>
      </c>
      <c r="E45">
        <f t="shared" si="0"/>
        <v>0.85099999999999998</v>
      </c>
      <c r="F45">
        <f t="shared" si="1"/>
        <v>1.0629999999999999</v>
      </c>
      <c r="G45">
        <f t="shared" si="2"/>
        <v>1.276</v>
      </c>
      <c r="H45">
        <f t="shared" si="3"/>
        <v>1.7010000000000001</v>
      </c>
      <c r="K45">
        <v>0.85099999999999998</v>
      </c>
      <c r="L45">
        <v>1.0629999999999999</v>
      </c>
      <c r="M45">
        <v>1.276</v>
      </c>
      <c r="N45">
        <v>1.7010000000000001</v>
      </c>
    </row>
    <row r="46" spans="2:17" x14ac:dyDescent="0.25">
      <c r="D46" s="45">
        <v>8</v>
      </c>
      <c r="E46">
        <f t="shared" si="0"/>
        <v>0.872</v>
      </c>
      <c r="F46">
        <f t="shared" si="1"/>
        <v>1.0900000000000001</v>
      </c>
      <c r="G46">
        <f t="shared" si="2"/>
        <v>1.3089999999999999</v>
      </c>
      <c r="H46">
        <f t="shared" si="3"/>
        <v>1.7449999999999999</v>
      </c>
      <c r="K46">
        <v>0.872</v>
      </c>
      <c r="L46">
        <v>1.0900000000000001</v>
      </c>
      <c r="M46">
        <v>1.3089999999999999</v>
      </c>
      <c r="N46">
        <v>1.7449999999999999</v>
      </c>
    </row>
    <row r="47" spans="2:17" x14ac:dyDescent="0.25">
      <c r="D47" s="45">
        <v>8.25</v>
      </c>
      <c r="E47">
        <f t="shared" si="0"/>
        <v>0.88800000000000001</v>
      </c>
      <c r="F47">
        <f t="shared" si="1"/>
        <v>1.1100000000000001</v>
      </c>
      <c r="G47">
        <f t="shared" si="2"/>
        <v>1.3320000000000001</v>
      </c>
      <c r="H47">
        <f t="shared" si="3"/>
        <v>1.776</v>
      </c>
      <c r="K47">
        <v>0.88800000000000001</v>
      </c>
      <c r="L47">
        <v>1.1100000000000001</v>
      </c>
      <c r="M47">
        <v>1.3320000000000001</v>
      </c>
      <c r="N47">
        <v>1.776</v>
      </c>
    </row>
    <row r="48" spans="2:17" x14ac:dyDescent="0.25">
      <c r="D48" s="45">
        <v>8.5</v>
      </c>
      <c r="E48">
        <f t="shared" si="0"/>
        <v>0.91500000000000004</v>
      </c>
      <c r="F48">
        <f t="shared" si="1"/>
        <v>1.1439999999999999</v>
      </c>
      <c r="G48">
        <f t="shared" si="2"/>
        <v>1.3720000000000001</v>
      </c>
      <c r="H48">
        <f t="shared" si="3"/>
        <v>1.83</v>
      </c>
      <c r="K48">
        <v>0.91500000000000004</v>
      </c>
      <c r="L48">
        <v>1.1439999999999999</v>
      </c>
      <c r="M48">
        <v>1.3720000000000001</v>
      </c>
      <c r="N48">
        <v>1.83</v>
      </c>
    </row>
    <row r="49" spans="4:14" x14ac:dyDescent="0.25">
      <c r="D49" s="45">
        <v>8.75</v>
      </c>
      <c r="E49">
        <f t="shared" si="0"/>
        <v>0.93600000000000005</v>
      </c>
      <c r="F49">
        <f t="shared" si="1"/>
        <v>1.17</v>
      </c>
      <c r="G49">
        <f t="shared" si="2"/>
        <v>1.4039999999999999</v>
      </c>
      <c r="H49">
        <f t="shared" si="3"/>
        <v>1.8720000000000001</v>
      </c>
      <c r="K49">
        <v>0.93600000000000005</v>
      </c>
      <c r="L49">
        <v>1.17</v>
      </c>
      <c r="M49">
        <v>1.4039999999999999</v>
      </c>
      <c r="N49">
        <v>1.8720000000000001</v>
      </c>
    </row>
    <row r="50" spans="4:14" x14ac:dyDescent="0.25">
      <c r="D50" s="45">
        <v>9</v>
      </c>
      <c r="E50">
        <f t="shared" si="0"/>
        <v>0.96299999999999997</v>
      </c>
      <c r="F50">
        <f t="shared" si="1"/>
        <v>1.2030000000000001</v>
      </c>
      <c r="G50">
        <f t="shared" si="2"/>
        <v>1.444</v>
      </c>
      <c r="H50">
        <f t="shared" si="3"/>
        <v>1.9249999999999998</v>
      </c>
      <c r="K50">
        <v>0.96299999999999997</v>
      </c>
      <c r="L50">
        <v>1.2030000000000001</v>
      </c>
      <c r="M50">
        <v>1.444</v>
      </c>
      <c r="N50">
        <v>1.9249999999999998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Trim Take Off</vt:lpstr>
      <vt:lpstr>Door Schedule</vt:lpstr>
      <vt:lpstr>Door Price Data</vt:lpstr>
      <vt:lpstr>Door Take Off</vt:lpstr>
      <vt:lpstr>Trim Calc</vt:lpstr>
      <vt:lpstr>Vlookup</vt:lpstr>
      <vt:lpstr>Door Estimate</vt:lpstr>
      <vt:lpstr>Trim Estimate</vt:lpstr>
      <vt:lpstr>Hardwood Price Data</vt:lpstr>
      <vt:lpstr>LookUps</vt:lpstr>
      <vt:lpstr>'Door Estimate'!Print_Area</vt:lpstr>
      <vt:lpstr>'Trim Estimate'!Print_Area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Crosby</dc:creator>
  <cp:lastModifiedBy>Karl Vaage</cp:lastModifiedBy>
  <cp:lastPrinted>2025-06-12T21:19:33Z</cp:lastPrinted>
  <dcterms:created xsi:type="dcterms:W3CDTF">2022-10-07T17:40:39Z</dcterms:created>
  <dcterms:modified xsi:type="dcterms:W3CDTF">2025-06-19T21:28:47Z</dcterms:modified>
</cp:coreProperties>
</file>